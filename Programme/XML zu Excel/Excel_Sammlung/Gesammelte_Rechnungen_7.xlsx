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9" customWidth="1" min="4" max="4"/>
    <col width="17" customWidth="1" min="5" max="5"/>
    <col width="38" customWidth="1" min="6" max="6"/>
    <col width="17" customWidth="1" min="7" max="7"/>
    <col width="70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48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Rechnung</t>
        </is>
      </c>
      <c r="B2" t="inlineStr">
        <is>
          <t>RECH-2023-445</t>
        </is>
      </c>
      <c r="C2" t="inlineStr">
        <is>
          <t>2023-01-31</t>
        </is>
      </c>
      <c r="D2" t="inlineStr">
        <is>
          <t>Kostner Service GmbH</t>
        </is>
      </c>
      <c r="E2" t="inlineStr">
        <is>
          <t>02753540216</t>
        </is>
      </c>
      <c r="F2" t="inlineStr">
        <is>
          <t>KMS OHG des Matzoll Markus &amp; Co.</t>
        </is>
      </c>
      <c r="G2" t="inlineStr">
        <is>
          <t>01541130215</t>
        </is>
      </c>
      <c r="H2" t="inlineStr">
        <is>
          <t>DIESEL</t>
        </is>
      </c>
      <c r="I2" t="inlineStr">
        <is>
          <t>FL 700 BA</t>
        </is>
      </c>
      <c r="J2" t="inlineStr">
        <is>
          <t>PKW</t>
        </is>
      </c>
      <c r="K2" t="n">
        <v>48.93</v>
      </c>
      <c r="L2" s="2" t="n">
        <v>1.61393443</v>
      </c>
      <c r="M2" s="2" t="n">
        <v>78.16</v>
      </c>
      <c r="N2" s="3" t="n">
        <v>0.22</v>
      </c>
      <c r="O2" s="4">
        <f>HYPERLINK("C:\Users\Dangi\Desktop\Buchhaltung\Beispiele\23020413074869_IT02046570426_3DaaK.xml.p7m", "23020413074869_IT02046570426_3DaaK.xml.p7m")</f>
        <v/>
      </c>
    </row>
    <row r="3">
      <c r="A3" t="inlineStr">
        <is>
          <t>Rechnung</t>
        </is>
      </c>
      <c r="B3" t="inlineStr">
        <is>
          <t>RECH-2023-445</t>
        </is>
      </c>
      <c r="C3" t="inlineStr">
        <is>
          <t>2023-01-31</t>
        </is>
      </c>
      <c r="D3" t="inlineStr">
        <is>
          <t>Kostner Service GmbH</t>
        </is>
      </c>
      <c r="E3" t="inlineStr">
        <is>
          <t>02753540216</t>
        </is>
      </c>
      <c r="F3" t="inlineStr">
        <is>
          <t>KMS OHG des Matzoll Markus &amp; Co.</t>
        </is>
      </c>
      <c r="G3" t="inlineStr">
        <is>
          <t>01541130215</t>
        </is>
      </c>
      <c r="H3" t="inlineStr">
        <is>
          <t>DIESEL</t>
        </is>
      </c>
      <c r="I3" t="inlineStr">
        <is>
          <t>DY 410 JB</t>
        </is>
      </c>
      <c r="J3" t="inlineStr">
        <is>
          <t>LKW</t>
        </is>
      </c>
      <c r="K3" t="n">
        <v>205.12</v>
      </c>
      <c r="L3" s="2" t="n">
        <v>1.63852459</v>
      </c>
      <c r="M3" s="2" t="n">
        <v>332.73</v>
      </c>
      <c r="N3" s="3" t="n">
        <v>0.22</v>
      </c>
      <c r="O3" s="4">
        <f>HYPERLINK("C:\Users\Dangi\Desktop\Buchhaltung\Beispiele\23020413074869_IT02046570426_3DaaK.xml.p7m", "23020413074869_IT02046570426_3DaaK.xml.p7m")</f>
        <v/>
      </c>
    </row>
    <row r="4">
      <c r="A4" t="inlineStr">
        <is>
          <t>Rechnung</t>
        </is>
      </c>
      <c r="B4" t="inlineStr">
        <is>
          <t>RECH-2023-445</t>
        </is>
      </c>
      <c r="C4" t="inlineStr">
        <is>
          <t>2023-01-31</t>
        </is>
      </c>
      <c r="D4" t="inlineStr">
        <is>
          <t>Kostner Service GmbH</t>
        </is>
      </c>
      <c r="E4" t="inlineStr">
        <is>
          <t>02753540216</t>
        </is>
      </c>
      <c r="F4" t="inlineStr">
        <is>
          <t>KMS OHG des Matzoll Markus &amp; Co.</t>
        </is>
      </c>
      <c r="G4" t="inlineStr">
        <is>
          <t>01541130215</t>
        </is>
      </c>
      <c r="H4" t="inlineStr">
        <is>
          <t>DIESEL</t>
        </is>
      </c>
      <c r="I4" t="inlineStr">
        <is>
          <t>GE 702 BF</t>
        </is>
      </c>
      <c r="J4" t="inlineStr">
        <is>
          <t>LKW</t>
        </is>
      </c>
      <c r="K4" t="n">
        <v>246.57</v>
      </c>
      <c r="L4" s="2" t="n">
        <v>1.61393443</v>
      </c>
      <c r="M4" s="2" t="n">
        <v>393.9</v>
      </c>
      <c r="N4" s="3" t="n">
        <v>0.22</v>
      </c>
      <c r="O4" s="4">
        <f>HYPERLINK("C:\Users\Dangi\Desktop\Buchhaltung\Beispiele\23020413074869_IT02046570426_3DaaK.xml.p7m", "23020413074869_IT02046570426_3DaaK.xml.p7m")</f>
        <v/>
      </c>
    </row>
    <row r="5">
      <c r="A5" t="inlineStr">
        <is>
          <t>Rechnung</t>
        </is>
      </c>
      <c r="B5" t="inlineStr">
        <is>
          <t>RECH-2023-445</t>
        </is>
      </c>
      <c r="C5" t="inlineStr">
        <is>
          <t>2023-01-31</t>
        </is>
      </c>
      <c r="D5" t="inlineStr">
        <is>
          <t>Kostner Service GmbH</t>
        </is>
      </c>
      <c r="E5" t="inlineStr">
        <is>
          <t>02753540216</t>
        </is>
      </c>
      <c r="F5" t="inlineStr">
        <is>
          <t>KMS OHG des Matzoll Markus &amp; Co.</t>
        </is>
      </c>
      <c r="G5" t="inlineStr">
        <is>
          <t>01541130215</t>
        </is>
      </c>
      <c r="H5" t="inlineStr">
        <is>
          <t>DIESEL</t>
        </is>
      </c>
      <c r="I5" t="inlineStr">
        <is>
          <t>FY 669 VW</t>
        </is>
      </c>
      <c r="J5" t="inlineStr">
        <is>
          <t>LKW</t>
        </is>
      </c>
      <c r="K5" t="n">
        <v>40.46</v>
      </c>
      <c r="L5" s="2" t="n">
        <v>1.61393443</v>
      </c>
      <c r="M5" s="2" t="n">
        <v>64.64</v>
      </c>
      <c r="N5" s="3" t="n">
        <v>0.22</v>
      </c>
      <c r="O5" s="4">
        <f>HYPERLINK("C:\Users\Dangi\Desktop\Buchhaltung\Beispiele\23020413074869_IT02046570426_3DaaK.xml.p7m", "23020413074869_IT02046570426_3DaaK.xml.p7m")</f>
        <v/>
      </c>
    </row>
    <row r="6">
      <c r="A6" t="inlineStr">
        <is>
          <t>Rechnung</t>
        </is>
      </c>
      <c r="B6" t="inlineStr">
        <is>
          <t>RECH-2023-445</t>
        </is>
      </c>
      <c r="C6" t="inlineStr">
        <is>
          <t>2023-01-31</t>
        </is>
      </c>
      <c r="D6" t="inlineStr">
        <is>
          <t>Kostner Service GmbH</t>
        </is>
      </c>
      <c r="E6" t="inlineStr">
        <is>
          <t>02753540216</t>
        </is>
      </c>
      <c r="F6" t="inlineStr">
        <is>
          <t>KMS OHG des Matzoll Markus &amp; Co.</t>
        </is>
      </c>
      <c r="G6" t="inlineStr">
        <is>
          <t>01541130215</t>
        </is>
      </c>
      <c r="H6" t="inlineStr">
        <is>
          <t>DIESEL</t>
        </is>
      </c>
      <c r="I6" t="inlineStr">
        <is>
          <t>FY 669 VW</t>
        </is>
      </c>
      <c r="J6" t="inlineStr">
        <is>
          <t>LKW</t>
        </is>
      </c>
      <c r="K6" t="n">
        <v>34.02</v>
      </c>
      <c r="L6" s="2" t="n">
        <v>1.63852459</v>
      </c>
      <c r="M6" s="2" t="n">
        <v>55.19</v>
      </c>
      <c r="N6" s="3" t="n">
        <v>0.22</v>
      </c>
      <c r="O6" s="4">
        <f>HYPERLINK("C:\Users\Dangi\Desktop\Buchhaltung\Beispiele\23020413074869_IT02046570426_3DaaK.xml.p7m", "23020413074869_IT02046570426_3DaaK.xml.p7m")</f>
        <v/>
      </c>
    </row>
    <row r="7">
      <c r="A7" t="inlineStr">
        <is>
          <t>Gutschrift</t>
        </is>
      </c>
      <c r="B7" t="inlineStr">
        <is>
          <t>RL-2026-4</t>
        </is>
      </c>
      <c r="C7" t="inlineStr">
        <is>
          <t>2026-01-16</t>
        </is>
      </c>
      <c r="D7" t="inlineStr">
        <is>
          <t>Zöggeler Franz &amp; Co. KG</t>
        </is>
      </c>
      <c r="E7" t="inlineStr">
        <is>
          <t>00153560214</t>
        </is>
      </c>
      <c r="F7" t="inlineStr">
        <is>
          <t>Holzner GmbH</t>
        </is>
      </c>
      <c r="G7" t="inlineStr">
        <is>
          <t>02977480215</t>
        </is>
      </c>
      <c r="H7" t="inlineStr">
        <is>
          <t>Kalbswangen gefroren vak.</t>
        </is>
      </c>
      <c r="I7" t="inlineStr"/>
      <c r="J7" t="inlineStr"/>
      <c r="K7" t="n">
        <v>-5.95</v>
      </c>
      <c r="L7" s="2" t="n">
        <v>23.5</v>
      </c>
      <c r="M7" s="2" t="n">
        <v>-139.83</v>
      </c>
      <c r="N7" s="3" t="n">
        <v>0.1</v>
      </c>
      <c r="O7" s="4">
        <f>HYPERLINK("C:\Users\Dangi\Desktop\Buchhaltung\Beispiele\Rechnung - Kopie.xml", "Rechnung - Kopie.xml")</f>
        <v/>
      </c>
    </row>
    <row r="8">
      <c r="A8" t="inlineStr">
        <is>
          <t>Gutschrift</t>
        </is>
      </c>
      <c r="B8" t="inlineStr">
        <is>
          <t>RL-2026-4</t>
        </is>
      </c>
      <c r="C8" t="inlineStr">
        <is>
          <t>2026-01-16</t>
        </is>
      </c>
      <c r="D8" t="inlineStr">
        <is>
          <t>Zöggeler Franz &amp; Co. KG</t>
        </is>
      </c>
      <c r="E8" t="inlineStr">
        <is>
          <t>00153560214</t>
        </is>
      </c>
      <c r="F8" t="inlineStr">
        <is>
          <t>Holzner GmbH</t>
        </is>
      </c>
      <c r="G8" t="inlineStr">
        <is>
          <t>02977480215</t>
        </is>
      </c>
      <c r="H8" t="inlineStr">
        <is>
          <t>Schweinsrippenplatten geselcht 1/2 vak.</t>
        </is>
      </c>
      <c r="I8" t="inlineStr"/>
      <c r="J8" t="inlineStr"/>
      <c r="K8" t="n">
        <v>-17.5</v>
      </c>
      <c r="L8" s="2" t="n">
        <v>8</v>
      </c>
      <c r="M8" s="2" t="n">
        <v>-140</v>
      </c>
      <c r="N8" s="3" t="n">
        <v>0.1</v>
      </c>
      <c r="O8" s="4">
        <f>HYPERLINK("C:\Users\Dangi\Desktop\Buchhaltung\Beispiele\Rechnung - Kopie.xml", "Rechnung - Kopie.xml")</f>
        <v/>
      </c>
    </row>
    <row r="9">
      <c r="A9" t="inlineStr">
        <is>
          <t>Gutschrift</t>
        </is>
      </c>
      <c r="B9" t="inlineStr">
        <is>
          <t>RL-2026-4</t>
        </is>
      </c>
      <c r="C9" t="inlineStr">
        <is>
          <t>2026-01-16</t>
        </is>
      </c>
      <c r="D9" t="inlineStr">
        <is>
          <t>Zöggeler Franz &amp; Co. KG</t>
        </is>
      </c>
      <c r="E9" t="inlineStr">
        <is>
          <t>00153560214</t>
        </is>
      </c>
      <c r="F9" t="inlineStr">
        <is>
          <t>Holzner GmbH</t>
        </is>
      </c>
      <c r="G9" t="inlineStr">
        <is>
          <t>02977480215</t>
        </is>
      </c>
      <c r="H9" t="inlineStr">
        <is>
          <t>Selchlende (Filone</t>
        </is>
      </c>
      <c r="I9" t="inlineStr"/>
      <c r="J9" t="inlineStr"/>
      <c r="K9" t="n">
        <v>-17.54</v>
      </c>
      <c r="L9" s="2" t="n">
        <v>8</v>
      </c>
      <c r="M9" s="2" t="n">
        <v>-140.32</v>
      </c>
      <c r="N9" s="3" t="n">
        <v>0.1</v>
      </c>
      <c r="O9" s="4">
        <f>HYPERLINK("C:\Users\Dangi\Desktop\Buchhaltung\Beispiele\Rechnung - Kopie.xml", "Rechnung - Kopie.xml")</f>
        <v/>
      </c>
    </row>
    <row r="10">
      <c r="A10" t="inlineStr">
        <is>
          <t>Gutschrift</t>
        </is>
      </c>
      <c r="B10" t="inlineStr">
        <is>
          <t>RL-2026-4</t>
        </is>
      </c>
      <c r="C10" t="inlineStr">
        <is>
          <t>2026-01-16</t>
        </is>
      </c>
      <c r="D10" t="inlineStr">
        <is>
          <t>Zöggeler Franz &amp; Co. KG</t>
        </is>
      </c>
      <c r="E10" t="inlineStr">
        <is>
          <t>00153560214</t>
        </is>
      </c>
      <c r="F10" t="inlineStr">
        <is>
          <t>Holzner GmbH</t>
        </is>
      </c>
      <c r="G10" t="inlineStr">
        <is>
          <t>02977480215</t>
        </is>
      </c>
      <c r="H10" t="inlineStr">
        <is>
          <t>Schweineschöpfe geräuchert - Rollbraten</t>
        </is>
      </c>
      <c r="I10" t="inlineStr"/>
      <c r="J10" t="inlineStr"/>
      <c r="K10" t="n">
        <v>-6.52</v>
      </c>
      <c r="L10" s="2" t="n">
        <v>8</v>
      </c>
      <c r="M10" s="2" t="n">
        <v>-52.16</v>
      </c>
      <c r="N10" s="3" t="n">
        <v>0.1</v>
      </c>
      <c r="O10" s="4">
        <f>HYPERLINK("C:\Users\Dangi\Desktop\Buchhaltung\Beispiele\Rechnung - Kopie.xml", "Rechnung - Kopie.xml")</f>
        <v/>
      </c>
    </row>
    <row r="11">
      <c r="A11" t="inlineStr">
        <is>
          <t>Gutschrift</t>
        </is>
      </c>
      <c r="B11" t="inlineStr">
        <is>
          <t>RL-2026-4</t>
        </is>
      </c>
      <c r="C11" t="inlineStr">
        <is>
          <t>2026-01-16</t>
        </is>
      </c>
      <c r="D11" t="inlineStr">
        <is>
          <t>Zöggeler Franz &amp; Co. KG</t>
        </is>
      </c>
      <c r="E11" t="inlineStr">
        <is>
          <t>00153560214</t>
        </is>
      </c>
      <c r="F11" t="inlineStr">
        <is>
          <t>Holzner GmbH</t>
        </is>
      </c>
      <c r="G11" t="inlineStr">
        <is>
          <t>02977480215</t>
        </is>
      </c>
      <c r="H11" t="inlineStr">
        <is>
          <t>Schweinskaiserteile</t>
        </is>
      </c>
      <c r="I11" t="inlineStr"/>
      <c r="J11" t="inlineStr"/>
      <c r="K11" t="n">
        <v>-23.9</v>
      </c>
      <c r="L11" s="2" t="n">
        <v>3.8</v>
      </c>
      <c r="M11" s="2" t="n">
        <v>-90.81999999999999</v>
      </c>
      <c r="N11" s="3" t="n">
        <v>0.1</v>
      </c>
      <c r="O11" s="4">
        <f>HYPERLINK("C:\Users\Dangi\Desktop\Buchhaltung\Beispiele\Rechnung - Kopie.xml", "Rechnung - Kopie.xml")</f>
        <v/>
      </c>
    </row>
    <row r="12">
      <c r="A12" t="inlineStr">
        <is>
          <t>Gutschrift</t>
        </is>
      </c>
      <c r="B12" t="inlineStr">
        <is>
          <t>RL-2026-4</t>
        </is>
      </c>
      <c r="C12" t="inlineStr">
        <is>
          <t>2026-01-16</t>
        </is>
      </c>
      <c r="D12" t="inlineStr">
        <is>
          <t>Zöggeler Franz &amp; Co. KG</t>
        </is>
      </c>
      <c r="E12" t="inlineStr">
        <is>
          <t>00153560214</t>
        </is>
      </c>
      <c r="F12" t="inlineStr">
        <is>
          <t>Holzner GmbH</t>
        </is>
      </c>
      <c r="G12" t="inlineStr">
        <is>
          <t>02977480215</t>
        </is>
      </c>
      <c r="H12" t="inlineStr">
        <is>
          <t>Schweinsabschnitte / carnetta -  S. Deckel</t>
        </is>
      </c>
      <c r="I12" t="inlineStr"/>
      <c r="J12" t="inlineStr"/>
      <c r="K12" t="n">
        <v>-61.8</v>
      </c>
      <c r="L12" s="2" t="n">
        <v>3.2</v>
      </c>
      <c r="M12" s="2" t="n">
        <v>-197.76</v>
      </c>
      <c r="N12" s="3" t="n">
        <v>0.1</v>
      </c>
      <c r="O12" s="4">
        <f>HYPERLINK("C:\Users\Dangi\Desktop\Buchhaltung\Beispiele\Rechnung - Kopie.xml", "Rechnung - Kopie.xml")</f>
        <v/>
      </c>
    </row>
    <row r="13">
      <c r="A13" t="inlineStr">
        <is>
          <t>Gutschrift</t>
        </is>
      </c>
      <c r="B13" t="inlineStr">
        <is>
          <t>RL-2026-4</t>
        </is>
      </c>
      <c r="C13" t="inlineStr">
        <is>
          <t>2026-01-16</t>
        </is>
      </c>
      <c r="D13" t="inlineStr">
        <is>
          <t>Zöggeler Franz &amp; Co. KG</t>
        </is>
      </c>
      <c r="E13" t="inlineStr">
        <is>
          <t>00153560214</t>
        </is>
      </c>
      <c r="F13" t="inlineStr">
        <is>
          <t>Holzner GmbH</t>
        </is>
      </c>
      <c r="G13" t="inlineStr">
        <is>
          <t>02977480215</t>
        </is>
      </c>
      <c r="H13" t="inlineStr">
        <is>
          <t>Kalbsrücken</t>
        </is>
      </c>
      <c r="I13" t="inlineStr"/>
      <c r="J13" t="inlineStr"/>
      <c r="K13" t="n">
        <v>-23.56</v>
      </c>
      <c r="L13" s="2" t="n">
        <v>22.5</v>
      </c>
      <c r="M13" s="2" t="n">
        <v>-530.1</v>
      </c>
      <c r="N13" s="3" t="n">
        <v>0.1</v>
      </c>
      <c r="O13" s="4">
        <f>HYPERLINK("C:\Users\Dangi\Desktop\Buchhaltung\Beispiele\Rechnung - Kopie.xml", "Rechnung - Kopie.xml")</f>
        <v/>
      </c>
    </row>
    <row r="14">
      <c r="A14" t="inlineStr">
        <is>
          <t>Gutschrift</t>
        </is>
      </c>
      <c r="B14" t="inlineStr">
        <is>
          <t>RL-2026-4</t>
        </is>
      </c>
      <c r="C14" t="inlineStr">
        <is>
          <t>2026-01-16</t>
        </is>
      </c>
      <c r="D14" t="inlineStr">
        <is>
          <t>Zöggeler Franz &amp; Co. KG</t>
        </is>
      </c>
      <c r="E14" t="inlineStr">
        <is>
          <t>00153560214</t>
        </is>
      </c>
      <c r="F14" t="inlineStr">
        <is>
          <t>Holzner GmbH</t>
        </is>
      </c>
      <c r="G14" t="inlineStr">
        <is>
          <t>02977480215</t>
        </is>
      </c>
      <c r="H14" t="inlineStr">
        <is>
          <t>Rindsschulternahtl / Schulterscherzl</t>
        </is>
      </c>
      <c r="I14" t="inlineStr"/>
      <c r="J14" t="inlineStr"/>
      <c r="K14" t="n">
        <v>-26.16</v>
      </c>
      <c r="L14" s="2" t="n">
        <v>16.5</v>
      </c>
      <c r="M14" s="2" t="n">
        <v>-431.64</v>
      </c>
      <c r="N14" s="3" t="n">
        <v>0.1</v>
      </c>
      <c r="O14" s="4">
        <f>HYPERLINK("C:\Users\Dangi\Desktop\Buchhaltung\Beispiele\Rechnung - Kopie.xml", "Rechnung - Kopie.xml")</f>
        <v/>
      </c>
    </row>
    <row r="15">
      <c r="A15" t="inlineStr">
        <is>
          <t>Gutschrift</t>
        </is>
      </c>
      <c r="B15" t="inlineStr">
        <is>
          <t>RL-2026-4</t>
        </is>
      </c>
      <c r="C15" t="inlineStr">
        <is>
          <t>2026-01-16</t>
        </is>
      </c>
      <c r="D15" t="inlineStr">
        <is>
          <t>Zöggeler Franz &amp; Co. KG</t>
        </is>
      </c>
      <c r="E15" t="inlineStr">
        <is>
          <t>00153560214</t>
        </is>
      </c>
      <c r="F15" t="inlineStr">
        <is>
          <t>Holzner GmbH</t>
        </is>
      </c>
      <c r="G15" t="inlineStr">
        <is>
          <t>02977480215</t>
        </is>
      </c>
      <c r="H15" t="inlineStr">
        <is>
          <t>Roastbeef / Controfiletto</t>
        </is>
      </c>
      <c r="I15" t="inlineStr"/>
      <c r="J15" t="inlineStr"/>
      <c r="K15" t="n">
        <v>-23.7</v>
      </c>
      <c r="L15" s="2" t="n">
        <v>22.5</v>
      </c>
      <c r="M15" s="2" t="n">
        <v>-533.25</v>
      </c>
      <c r="N15" s="3" t="n">
        <v>0.1</v>
      </c>
      <c r="O15" s="4">
        <f>HYPERLINK("C:\Users\Dangi\Desktop\Buchhaltung\Beispiele\Rechnung - Kopie.xml", "Rechnung - Kopie.xml")</f>
        <v/>
      </c>
    </row>
    <row r="16">
      <c r="A16" t="inlineStr">
        <is>
          <t>Gutschrift</t>
        </is>
      </c>
      <c r="B16" t="inlineStr">
        <is>
          <t>RL-2026-4</t>
        </is>
      </c>
      <c r="C16" t="inlineStr">
        <is>
          <t>2026-01-16</t>
        </is>
      </c>
      <c r="D16" t="inlineStr">
        <is>
          <t>Zöggeler Franz &amp; Co. KG</t>
        </is>
      </c>
      <c r="E16" t="inlineStr">
        <is>
          <t>00153560214</t>
        </is>
      </c>
      <c r="F16" t="inlineStr">
        <is>
          <t>Holzner GmbH</t>
        </is>
      </c>
      <c r="G16" t="inlineStr">
        <is>
          <t>02977480215</t>
        </is>
      </c>
      <c r="H16" t="inlineStr">
        <is>
          <t>Roastbeef mit Knochen - ganz</t>
        </is>
      </c>
      <c r="I16" t="inlineStr"/>
      <c r="J16" t="inlineStr"/>
      <c r="K16" t="n">
        <v>-27.96</v>
      </c>
      <c r="L16" s="2" t="n">
        <v>16.5</v>
      </c>
      <c r="M16" s="2" t="n">
        <v>-461.34</v>
      </c>
      <c r="N16" s="3" t="n">
        <v>0.1</v>
      </c>
      <c r="O16" s="4">
        <f>HYPERLINK("C:\Users\Dangi\Desktop\Buchhaltung\Beispiele\Rechnung - Kopie.xml", "Rechnung - Kopie.xml")</f>
        <v/>
      </c>
    </row>
    <row r="17">
      <c r="A17" t="inlineStr">
        <is>
          <t>Gutschrift</t>
        </is>
      </c>
      <c r="B17" t="inlineStr">
        <is>
          <t>RL-2026-4</t>
        </is>
      </c>
      <c r="C17" t="inlineStr">
        <is>
          <t>2026-01-16</t>
        </is>
      </c>
      <c r="D17" t="inlineStr">
        <is>
          <t>Zöggeler Franz &amp; Co. KG</t>
        </is>
      </c>
      <c r="E17" t="inlineStr">
        <is>
          <t>00153560214</t>
        </is>
      </c>
      <c r="F17" t="inlineStr">
        <is>
          <t>Holzner GmbH</t>
        </is>
      </c>
      <c r="G17" t="inlineStr">
        <is>
          <t>02977480215</t>
        </is>
      </c>
      <c r="H17" t="inlineStr">
        <is>
          <t>Käsekrainerwurst x 2 vac.</t>
        </is>
      </c>
      <c r="I17" t="inlineStr"/>
      <c r="J17" t="inlineStr"/>
      <c r="K17" t="n">
        <v>-4.95</v>
      </c>
      <c r="L17" s="2" t="n">
        <v>8.5</v>
      </c>
      <c r="M17" s="2" t="n">
        <v>-42.08</v>
      </c>
      <c r="N17" s="3" t="n">
        <v>0.1</v>
      </c>
      <c r="O17" s="4">
        <f>HYPERLINK("C:\Users\Dangi\Desktop\Buchhaltung\Beispiele\Rechnung - Kopie.xml", "Rechnung - Kopie.xml")</f>
        <v/>
      </c>
    </row>
    <row r="18">
      <c r="A18" t="inlineStr">
        <is>
          <t>Gutschrift</t>
        </is>
      </c>
      <c r="B18" t="inlineStr">
        <is>
          <t>RL-2026-4</t>
        </is>
      </c>
      <c r="C18" t="inlineStr">
        <is>
          <t>2026-01-16</t>
        </is>
      </c>
      <c r="D18" t="inlineStr">
        <is>
          <t>Zöggeler Franz &amp; Co. KG</t>
        </is>
      </c>
      <c r="E18" t="inlineStr">
        <is>
          <t>00153560214</t>
        </is>
      </c>
      <c r="F18" t="inlineStr">
        <is>
          <t>Holzner GmbH</t>
        </is>
      </c>
      <c r="G18" t="inlineStr">
        <is>
          <t>02977480215</t>
        </is>
      </c>
      <c r="H18" t="inlineStr">
        <is>
          <t>Schweinsschlegel ohne Knochen</t>
        </is>
      </c>
      <c r="I18" t="inlineStr"/>
      <c r="J18" t="inlineStr"/>
      <c r="K18" t="n">
        <v>-87.5</v>
      </c>
      <c r="L18" s="2" t="n">
        <v>3.4</v>
      </c>
      <c r="M18" s="2" t="n">
        <v>-297.5</v>
      </c>
      <c r="N18" s="3" t="n">
        <v>0.1</v>
      </c>
      <c r="O18" s="4">
        <f>HYPERLINK("C:\Users\Dangi\Desktop\Buchhaltung\Beispiele\Rechnung - Kopie.xml", "Rechnung - Kopie.xml")</f>
        <v/>
      </c>
    </row>
    <row r="19">
      <c r="A19" t="inlineStr">
        <is>
          <t>Gutschrift</t>
        </is>
      </c>
      <c r="B19" t="inlineStr">
        <is>
          <t>RL-2026-4</t>
        </is>
      </c>
      <c r="C19" t="inlineStr">
        <is>
          <t>2026-01-16</t>
        </is>
      </c>
      <c r="D19" t="inlineStr">
        <is>
          <t>Zöggeler Franz &amp; Co. KG</t>
        </is>
      </c>
      <c r="E19" t="inlineStr">
        <is>
          <t>00153560214</t>
        </is>
      </c>
      <c r="F19" t="inlineStr">
        <is>
          <t>Holzner GmbH</t>
        </is>
      </c>
      <c r="G19" t="inlineStr">
        <is>
          <t>02977480215</t>
        </is>
      </c>
      <c r="H19" t="inlineStr">
        <is>
          <t>Schweinsschlegel EA ohne Fuß</t>
        </is>
      </c>
      <c r="I19" t="inlineStr"/>
      <c r="J19" t="inlineStr"/>
      <c r="K19" t="n">
        <v>-174.5</v>
      </c>
      <c r="L19" s="2" t="n">
        <v>2.8</v>
      </c>
      <c r="M19" s="2" t="n">
        <v>-488.6</v>
      </c>
      <c r="N19" s="3" t="n">
        <v>0.1</v>
      </c>
      <c r="O19" s="4">
        <f>HYPERLINK("C:\Users\Dangi\Desktop\Buchhaltung\Beispiele\Rechnung - Kopie.xml", "Rechnung - Kopie.xml")</f>
        <v/>
      </c>
    </row>
    <row r="20">
      <c r="A20" t="inlineStr">
        <is>
          <t>Gutschrift</t>
        </is>
      </c>
      <c r="B20" t="inlineStr">
        <is>
          <t>RL-2026-4</t>
        </is>
      </c>
      <c r="C20" t="inlineStr">
        <is>
          <t>2026-01-16</t>
        </is>
      </c>
      <c r="D20" t="inlineStr">
        <is>
          <t>Zöggeler Franz &amp; Co. KG</t>
        </is>
      </c>
      <c r="E20" t="inlineStr">
        <is>
          <t>00153560214</t>
        </is>
      </c>
      <c r="F20" t="inlineStr">
        <is>
          <t>Holzner GmbH</t>
        </is>
      </c>
      <c r="G20" t="inlineStr">
        <is>
          <t>02977480215</t>
        </is>
      </c>
      <c r="H20" t="inlineStr">
        <is>
          <t>Rindsbeinfleisch</t>
        </is>
      </c>
      <c r="I20" t="inlineStr"/>
      <c r="J20" t="inlineStr"/>
      <c r="K20" t="n">
        <v>-29.2</v>
      </c>
      <c r="L20" s="2" t="n">
        <v>8.9</v>
      </c>
      <c r="M20" s="2" t="n">
        <v>-259.88</v>
      </c>
      <c r="N20" s="3" t="n">
        <v>0.1</v>
      </c>
      <c r="O20" s="4">
        <f>HYPERLINK("C:\Users\Dangi\Desktop\Buchhaltung\Beispiele\Rechnung - Kopie.xml", "Rechnung - Kopie.xml")</f>
        <v/>
      </c>
    </row>
    <row r="21">
      <c r="A21" t="inlineStr">
        <is>
          <t>Gutschrift</t>
        </is>
      </c>
      <c r="B21" t="inlineStr">
        <is>
          <t>RL-2026-4</t>
        </is>
      </c>
      <c r="C21" t="inlineStr">
        <is>
          <t>2026-01-16</t>
        </is>
      </c>
      <c r="D21" t="inlineStr">
        <is>
          <t>Zöggeler Franz &amp; Co. KG</t>
        </is>
      </c>
      <c r="E21" t="inlineStr">
        <is>
          <t>00153560214</t>
        </is>
      </c>
      <c r="F21" t="inlineStr">
        <is>
          <t>Holzner GmbH</t>
        </is>
      </c>
      <c r="G21" t="inlineStr">
        <is>
          <t>02977480215</t>
        </is>
      </c>
      <c r="H21" t="inlineStr">
        <is>
          <t>Blutwurst mini vak</t>
        </is>
      </c>
      <c r="I21" t="inlineStr"/>
      <c r="J21" t="inlineStr"/>
      <c r="K21" t="n">
        <v>-9.640000000000001</v>
      </c>
      <c r="L21" s="2" t="n">
        <v>6.5</v>
      </c>
      <c r="M21" s="2" t="n">
        <v>-62.66</v>
      </c>
      <c r="N21" s="3" t="n">
        <v>0.1</v>
      </c>
      <c r="O21" s="4">
        <f>HYPERLINK("C:\Users\Dangi\Desktop\Buchhaltung\Beispiele\Rechnung - Kopie.xml", "Rechnung - Kopie.xml")</f>
        <v/>
      </c>
    </row>
    <row r="22">
      <c r="A22" t="inlineStr">
        <is>
          <t>Gutschrift</t>
        </is>
      </c>
      <c r="B22" t="inlineStr">
        <is>
          <t>RL-2026-4</t>
        </is>
      </c>
      <c r="C22" t="inlineStr">
        <is>
          <t>2026-01-16</t>
        </is>
      </c>
      <c r="D22" t="inlineStr">
        <is>
          <t>Zöggeler Franz &amp; Co. KG</t>
        </is>
      </c>
      <c r="E22" t="inlineStr">
        <is>
          <t>00153560214</t>
        </is>
      </c>
      <c r="F22" t="inlineStr">
        <is>
          <t>Holzner GmbH</t>
        </is>
      </c>
      <c r="G22" t="inlineStr">
        <is>
          <t>02977480215</t>
        </is>
      </c>
      <c r="H22" t="inlineStr">
        <is>
          <t>S. Wangen gefroren</t>
        </is>
      </c>
      <c r="I22" t="inlineStr"/>
      <c r="J22" t="inlineStr"/>
      <c r="K22" t="n">
        <v>-21.98</v>
      </c>
      <c r="L22" s="2" t="n">
        <v>9.5</v>
      </c>
      <c r="M22" s="2" t="n">
        <v>-208.81</v>
      </c>
      <c r="N22" s="3" t="n">
        <v>0.1</v>
      </c>
      <c r="O22" s="4">
        <f>HYPERLINK("C:\Users\Dangi\Desktop\Buchhaltung\Beispiele\Rechnung - Kopie.xml", "Rechnung - Kopie.xml")</f>
        <v/>
      </c>
    </row>
    <row r="23">
      <c r="A23" t="inlineStr">
        <is>
          <t>Gutschrift</t>
        </is>
      </c>
      <c r="B23" t="inlineStr">
        <is>
          <t>RL-2026-4</t>
        </is>
      </c>
      <c r="C23" t="inlineStr">
        <is>
          <t>2026-01-16</t>
        </is>
      </c>
      <c r="D23" t="inlineStr">
        <is>
          <t>Zöggeler Franz &amp; Co. KG</t>
        </is>
      </c>
      <c r="E23" t="inlineStr">
        <is>
          <t>00153560214</t>
        </is>
      </c>
      <c r="F23" t="inlineStr">
        <is>
          <t>Holzner GmbH</t>
        </is>
      </c>
      <c r="G23" t="inlineStr">
        <is>
          <t>02977480215</t>
        </is>
      </c>
      <c r="H23" t="inlineStr">
        <is>
          <t>Riga ausiliaria contenente informazioni tecniche e aggiuntive del documento</t>
        </is>
      </c>
      <c r="I23" t="inlineStr"/>
      <c r="J23" t="inlineStr"/>
      <c r="K23" t="n">
        <v>-1</v>
      </c>
      <c r="L23" s="2" t="n">
        <v>0</v>
      </c>
      <c r="M23" s="2" t="n">
        <v>-0</v>
      </c>
      <c r="N23" s="3" t="n">
        <v>0.1</v>
      </c>
      <c r="O23" s="4">
        <f>HYPERLINK("C:\Users\Dangi\Desktop\Buchhaltung\Beispiele\Rechnung - Kopie.xml", "Rechnung - Kopie.xml")</f>
        <v/>
      </c>
    </row>
    <row r="24">
      <c r="A24" t="inlineStr">
        <is>
          <t>Rechnung</t>
        </is>
      </c>
      <c r="B24" t="inlineStr">
        <is>
          <t>RECH-2023-2135</t>
        </is>
      </c>
      <c r="C24" t="inlineStr">
        <is>
          <t>2023-02-28</t>
        </is>
      </c>
      <c r="D24" t="inlineStr">
        <is>
          <t>Kostner Service GmbH</t>
        </is>
      </c>
      <c r="E24" t="inlineStr">
        <is>
          <t>02753540216</t>
        </is>
      </c>
      <c r="F24" t="inlineStr">
        <is>
          <t>KMS OHG des Matzoll Markus &amp; Co.</t>
        </is>
      </c>
      <c r="G24" t="inlineStr">
        <is>
          <t>01541130215</t>
        </is>
      </c>
      <c r="H24" t="inlineStr">
        <is>
          <t>DIESEL</t>
        </is>
      </c>
      <c r="I24" t="inlineStr">
        <is>
          <t>FL 700 BA</t>
        </is>
      </c>
      <c r="J24" t="inlineStr">
        <is>
          <t>PKW</t>
        </is>
      </c>
      <c r="K24" t="n">
        <v>52.4</v>
      </c>
      <c r="L24" s="2" t="n">
        <v>1.5647541</v>
      </c>
      <c r="M24" s="2" t="n">
        <v>81.13</v>
      </c>
      <c r="N24" s="3" t="n">
        <v>0.22</v>
      </c>
      <c r="O24" s="4">
        <f>HYPERLINK("C:\Users\Dangi\Desktop\Buchhaltung\Beispiele\Unterordner 1\23030608431772_IT02046570426_3VRGB.xml.p7m", "23030608431772_IT02046570426_3VRGB.xml.p7m")</f>
        <v/>
      </c>
    </row>
    <row r="25">
      <c r="A25" t="inlineStr">
        <is>
          <t>Rechnung</t>
        </is>
      </c>
      <c r="B25" t="inlineStr">
        <is>
          <t>RECH-2023-2135</t>
        </is>
      </c>
      <c r="C25" t="inlineStr">
        <is>
          <t>2023-02-28</t>
        </is>
      </c>
      <c r="D25" t="inlineStr">
        <is>
          <t>Kostner Service GmbH</t>
        </is>
      </c>
      <c r="E25" t="inlineStr">
        <is>
          <t>02753540216</t>
        </is>
      </c>
      <c r="F25" t="inlineStr">
        <is>
          <t>KMS OHG des Matzoll Markus &amp; Co.</t>
        </is>
      </c>
      <c r="G25" t="inlineStr">
        <is>
          <t>01541130215</t>
        </is>
      </c>
      <c r="H25" t="inlineStr">
        <is>
          <t>DIESEL</t>
        </is>
      </c>
      <c r="I25" t="inlineStr">
        <is>
          <t>FF 980 YV</t>
        </is>
      </c>
      <c r="J25" t="inlineStr">
        <is>
          <t>LKW</t>
        </is>
      </c>
      <c r="K25" t="n">
        <v>240.02</v>
      </c>
      <c r="L25" s="2" t="n">
        <v>1.58934426</v>
      </c>
      <c r="M25" s="2" t="n">
        <v>377.54</v>
      </c>
      <c r="N25" s="3" t="n">
        <v>0.22</v>
      </c>
      <c r="O25" s="4">
        <f>HYPERLINK("C:\Users\Dangi\Desktop\Buchhaltung\Beispiele\Unterordner 1\23030608431772_IT02046570426_3VRGB.xml.p7m", "23030608431772_IT02046570426_3VRGB.xml.p7m")</f>
        <v/>
      </c>
    </row>
    <row r="26">
      <c r="A26" t="inlineStr">
        <is>
          <t>Rechnung</t>
        </is>
      </c>
      <c r="B26" t="inlineStr">
        <is>
          <t>RECH-2023-2135</t>
        </is>
      </c>
      <c r="C26" t="inlineStr">
        <is>
          <t>2023-02-28</t>
        </is>
      </c>
      <c r="D26" t="inlineStr">
        <is>
          <t>Kostner Service GmbH</t>
        </is>
      </c>
      <c r="E26" t="inlineStr">
        <is>
          <t>02753540216</t>
        </is>
      </c>
      <c r="F26" t="inlineStr">
        <is>
          <t>KMS OHG des Matzoll Markus &amp; Co.</t>
        </is>
      </c>
      <c r="G26" t="inlineStr">
        <is>
          <t>01541130215</t>
        </is>
      </c>
      <c r="H26" t="inlineStr">
        <is>
          <t>DIESEL</t>
        </is>
      </c>
      <c r="I26" t="inlineStr">
        <is>
          <t>FF 980 YV</t>
        </is>
      </c>
      <c r="J26" t="inlineStr">
        <is>
          <t>LKW</t>
        </is>
      </c>
      <c r="K26" t="n">
        <v>250.02</v>
      </c>
      <c r="L26" s="2" t="n">
        <v>1.55655738</v>
      </c>
      <c r="M26" s="2" t="n">
        <v>385.07</v>
      </c>
      <c r="N26" s="3" t="n">
        <v>0.22</v>
      </c>
      <c r="O26" s="4">
        <f>HYPERLINK("C:\Users\Dangi\Desktop\Buchhaltung\Beispiele\Unterordner 1\23030608431772_IT02046570426_3VRGB.xml.p7m", "23030608431772_IT02046570426_3VRGB.xml.p7m")</f>
        <v/>
      </c>
    </row>
    <row r="27">
      <c r="A27" t="inlineStr">
        <is>
          <t>Rechnung</t>
        </is>
      </c>
      <c r="B27" t="inlineStr">
        <is>
          <t>RECH-2023-2135</t>
        </is>
      </c>
      <c r="C27" t="inlineStr">
        <is>
          <t>2023-02-28</t>
        </is>
      </c>
      <c r="D27" t="inlineStr">
        <is>
          <t>Kostner Service GmbH</t>
        </is>
      </c>
      <c r="E27" t="inlineStr">
        <is>
          <t>02753540216</t>
        </is>
      </c>
      <c r="F27" t="inlineStr">
        <is>
          <t>KMS OHG des Matzoll Markus &amp; Co.</t>
        </is>
      </c>
      <c r="G27" t="inlineStr">
        <is>
          <t>01541130215</t>
        </is>
      </c>
      <c r="H27" t="inlineStr">
        <is>
          <t>DIESEL</t>
        </is>
      </c>
      <c r="I27" t="inlineStr">
        <is>
          <t>BZ 529 AA</t>
        </is>
      </c>
      <c r="J27" t="inlineStr">
        <is>
          <t>LKW</t>
        </is>
      </c>
      <c r="K27" t="n">
        <v>166.87</v>
      </c>
      <c r="L27" s="2" t="n">
        <v>1.57295082</v>
      </c>
      <c r="M27" s="2" t="n">
        <v>259.75</v>
      </c>
      <c r="N27" s="3" t="n">
        <v>0.22</v>
      </c>
      <c r="O27" s="4">
        <f>HYPERLINK("C:\Users\Dangi\Desktop\Buchhaltung\Beispiele\Unterordner 1\23030608431772_IT02046570426_3VRGB.xml.p7m", "23030608431772_IT02046570426_3VRGB.xml.p7m")</f>
        <v/>
      </c>
    </row>
    <row r="28">
      <c r="A28" t="inlineStr">
        <is>
          <t>Rechnung</t>
        </is>
      </c>
      <c r="B28" t="inlineStr">
        <is>
          <t>RECH-2023-2135</t>
        </is>
      </c>
      <c r="C28" t="inlineStr">
        <is>
          <t>2023-02-28</t>
        </is>
      </c>
      <c r="D28" t="inlineStr">
        <is>
          <t>Kostner Service GmbH</t>
        </is>
      </c>
      <c r="E28" t="inlineStr">
        <is>
          <t>02753540216</t>
        </is>
      </c>
      <c r="F28" t="inlineStr">
        <is>
          <t>KMS OHG des Matzoll Markus &amp; Co.</t>
        </is>
      </c>
      <c r="G28" t="inlineStr">
        <is>
          <t>01541130215</t>
        </is>
      </c>
      <c r="H28" t="inlineStr">
        <is>
          <t>DIESEL</t>
        </is>
      </c>
      <c r="I28" t="inlineStr">
        <is>
          <t>BZ 529 AA</t>
        </is>
      </c>
      <c r="J28" t="inlineStr">
        <is>
          <t>LKW</t>
        </is>
      </c>
      <c r="K28" t="n">
        <v>194.88</v>
      </c>
      <c r="L28" s="2" t="n">
        <v>1.55655738</v>
      </c>
      <c r="M28" s="2" t="n">
        <v>300.15</v>
      </c>
      <c r="N28" s="3" t="n">
        <v>0.22</v>
      </c>
      <c r="O28" s="4">
        <f>HYPERLINK("C:\Users\Dangi\Desktop\Buchhaltung\Beispiele\Unterordner 1\23030608431772_IT02046570426_3VRGB.xml.p7m", "23030608431772_IT02046570426_3VRGB.xml.p7m")</f>
        <v/>
      </c>
    </row>
    <row r="29">
      <c r="A29" t="inlineStr">
        <is>
          <t>Rechnung</t>
        </is>
      </c>
      <c r="B29" t="inlineStr">
        <is>
          <t>RECH-2023-2135</t>
        </is>
      </c>
      <c r="C29" t="inlineStr">
        <is>
          <t>2023-02-28</t>
        </is>
      </c>
      <c r="D29" t="inlineStr">
        <is>
          <t>Kostner Service GmbH</t>
        </is>
      </c>
      <c r="E29" t="inlineStr">
        <is>
          <t>02753540216</t>
        </is>
      </c>
      <c r="F29" t="inlineStr">
        <is>
          <t>KMS OHG des Matzoll Markus &amp; Co.</t>
        </is>
      </c>
      <c r="G29" t="inlineStr">
        <is>
          <t>01541130215</t>
        </is>
      </c>
      <c r="H29" t="inlineStr">
        <is>
          <t>DIESEL</t>
        </is>
      </c>
      <c r="I29" t="inlineStr">
        <is>
          <t>DY 410 JB</t>
        </is>
      </c>
      <c r="J29" t="inlineStr">
        <is>
          <t>LKW</t>
        </is>
      </c>
      <c r="K29" t="n">
        <v>196.95</v>
      </c>
      <c r="L29" s="2" t="n">
        <v>1.55655737</v>
      </c>
      <c r="M29" s="2" t="n">
        <v>303.34</v>
      </c>
      <c r="N29" s="3" t="n">
        <v>0.22</v>
      </c>
      <c r="O29" s="4">
        <f>HYPERLINK("C:\Users\Dangi\Desktop\Buchhaltung\Beispiele\Unterordner 1\23030608431772_IT02046570426_3VRGB.xml.p7m", "23030608431772_IT02046570426_3VRGB.xml.p7m")</f>
        <v/>
      </c>
    </row>
    <row r="30">
      <c r="A30" t="inlineStr">
        <is>
          <t>Rechnung</t>
        </is>
      </c>
      <c r="B30" t="inlineStr">
        <is>
          <t>RECH-2023-2135</t>
        </is>
      </c>
      <c r="C30" t="inlineStr">
        <is>
          <t>2023-02-28</t>
        </is>
      </c>
      <c r="D30" t="inlineStr">
        <is>
          <t>Kostner Service GmbH</t>
        </is>
      </c>
      <c r="E30" t="inlineStr">
        <is>
          <t>02753540216</t>
        </is>
      </c>
      <c r="F30" t="inlineStr">
        <is>
          <t>KMS OHG des Matzoll Markus &amp; Co.</t>
        </is>
      </c>
      <c r="G30" t="inlineStr">
        <is>
          <t>01541130215</t>
        </is>
      </c>
      <c r="H30" t="inlineStr">
        <is>
          <t>DIESEL</t>
        </is>
      </c>
      <c r="I30" t="inlineStr">
        <is>
          <t>GE 702 BF</t>
        </is>
      </c>
      <c r="J30" t="inlineStr">
        <is>
          <t>LKW</t>
        </is>
      </c>
      <c r="K30" t="n">
        <v>186.27</v>
      </c>
      <c r="L30" s="2" t="n">
        <v>1.54016393</v>
      </c>
      <c r="M30" s="2" t="n">
        <v>283.84</v>
      </c>
      <c r="N30" s="3" t="n">
        <v>0.22</v>
      </c>
      <c r="O30" s="4">
        <f>HYPERLINK("C:\Users\Dangi\Desktop\Buchhaltung\Beispiele\Unterordner 1\23030608431772_IT02046570426_3VRGB.xml.p7m", "23030608431772_IT02046570426_3VRGB.xml.p7m")</f>
        <v/>
      </c>
    </row>
    <row r="31">
      <c r="A31" t="inlineStr">
        <is>
          <t>Rechnung</t>
        </is>
      </c>
      <c r="B31" t="inlineStr">
        <is>
          <t>RECH-2023-2135</t>
        </is>
      </c>
      <c r="C31" t="inlineStr">
        <is>
          <t>2023-02-28</t>
        </is>
      </c>
      <c r="D31" t="inlineStr">
        <is>
          <t>Kostner Service GmbH</t>
        </is>
      </c>
      <c r="E31" t="inlineStr">
        <is>
          <t>02753540216</t>
        </is>
      </c>
      <c r="F31" t="inlineStr">
        <is>
          <t>KMS OHG des Matzoll Markus &amp; Co.</t>
        </is>
      </c>
      <c r="G31" t="inlineStr">
        <is>
          <t>01541130215</t>
        </is>
      </c>
      <c r="H31" t="inlineStr">
        <is>
          <t>DIESEL</t>
        </is>
      </c>
      <c r="I31" t="inlineStr">
        <is>
          <t>GE 702 BF</t>
        </is>
      </c>
      <c r="J31" t="inlineStr">
        <is>
          <t>LKW</t>
        </is>
      </c>
      <c r="K31" t="n">
        <v>110.68</v>
      </c>
      <c r="L31" s="2" t="n">
        <v>1.55655738</v>
      </c>
      <c r="M31" s="2" t="n">
        <v>170.47</v>
      </c>
      <c r="N31" s="3" t="n">
        <v>0.22</v>
      </c>
      <c r="O31" s="4">
        <f>HYPERLINK("C:\Users\Dangi\Desktop\Buchhaltung\Beispiele\Unterordner 1\23030608431772_IT02046570426_3VRGB.xml.p7m", "23030608431772_IT02046570426_3VRGB.xml.p7m")</f>
        <v/>
      </c>
    </row>
    <row r="32">
      <c r="A32" t="inlineStr">
        <is>
          <t>Rechnung</t>
        </is>
      </c>
      <c r="B32" t="inlineStr">
        <is>
          <t>RECH-2023-2135</t>
        </is>
      </c>
      <c r="C32" t="inlineStr">
        <is>
          <t>2023-02-28</t>
        </is>
      </c>
      <c r="D32" t="inlineStr">
        <is>
          <t>Kostner Service GmbH</t>
        </is>
      </c>
      <c r="E32" t="inlineStr">
        <is>
          <t>02753540216</t>
        </is>
      </c>
      <c r="F32" t="inlineStr">
        <is>
          <t>KMS OHG des Matzoll Markus &amp; Co.</t>
        </is>
      </c>
      <c r="G32" t="inlineStr">
        <is>
          <t>01541130215</t>
        </is>
      </c>
      <c r="H32" t="inlineStr">
        <is>
          <t>DIESEL</t>
        </is>
      </c>
      <c r="I32" t="inlineStr">
        <is>
          <t>FN 753 YS</t>
        </is>
      </c>
      <c r="J32" t="inlineStr">
        <is>
          <t>LKW</t>
        </is>
      </c>
      <c r="K32" t="n">
        <v>56.25</v>
      </c>
      <c r="L32" s="2" t="n">
        <v>1.6057377</v>
      </c>
      <c r="M32" s="2" t="n">
        <v>89.40000000000001</v>
      </c>
      <c r="N32" s="3" t="n">
        <v>0.22</v>
      </c>
      <c r="O32" s="4">
        <f>HYPERLINK("C:\Users\Dangi\Desktop\Buchhaltung\Beispiele\Unterordner 1\23030608431772_IT02046570426_3VRGB.xml.p7m", "23030608431772_IT02046570426_3VRGB.xml.p7m")</f>
        <v/>
      </c>
    </row>
    <row r="33">
      <c r="A33" t="inlineStr">
        <is>
          <t>Rechnung</t>
        </is>
      </c>
      <c r="B33" t="inlineStr">
        <is>
          <t>RECH-2023-2135</t>
        </is>
      </c>
      <c r="C33" t="inlineStr">
        <is>
          <t>2023-02-28</t>
        </is>
      </c>
      <c r="D33" t="inlineStr">
        <is>
          <t>Kostner Service GmbH</t>
        </is>
      </c>
      <c r="E33" t="inlineStr">
        <is>
          <t>02753540216</t>
        </is>
      </c>
      <c r="F33" t="inlineStr">
        <is>
          <t>KMS OHG des Matzoll Markus &amp; Co.</t>
        </is>
      </c>
      <c r="G33" t="inlineStr">
        <is>
          <t>01541130215</t>
        </is>
      </c>
      <c r="H33" t="inlineStr">
        <is>
          <t>DIESEL</t>
        </is>
      </c>
      <c r="I33" t="inlineStr">
        <is>
          <t>FN 753 YS</t>
        </is>
      </c>
      <c r="J33" t="inlineStr">
        <is>
          <t>LKW</t>
        </is>
      </c>
      <c r="K33" t="n">
        <v>57.69</v>
      </c>
      <c r="L33" s="2" t="n">
        <v>1.55655738</v>
      </c>
      <c r="M33" s="2" t="n">
        <v>88.84999999999999</v>
      </c>
      <c r="N33" s="3" t="n">
        <v>0.22</v>
      </c>
      <c r="O33" s="4">
        <f>HYPERLINK("C:\Users\Dangi\Desktop\Buchhaltung\Beispiele\Unterordner 1\23030608431772_IT02046570426_3VRGB.xml.p7m", "23030608431772_IT02046570426_3VRGB.xml.p7m")</f>
        <v/>
      </c>
    </row>
    <row r="34">
      <c r="A34" t="inlineStr">
        <is>
          <t>Rechnung</t>
        </is>
      </c>
      <c r="B34" t="inlineStr">
        <is>
          <t>RECH-2023-2135</t>
        </is>
      </c>
      <c r="C34" t="inlineStr">
        <is>
          <t>2023-02-28</t>
        </is>
      </c>
      <c r="D34" t="inlineStr">
        <is>
          <t>Kostner Service GmbH</t>
        </is>
      </c>
      <c r="E34" t="inlineStr">
        <is>
          <t>02753540216</t>
        </is>
      </c>
      <c r="F34" t="inlineStr">
        <is>
          <t>KMS OHG des Matzoll Markus &amp; Co.</t>
        </is>
      </c>
      <c r="G34" t="inlineStr">
        <is>
          <t>01541130215</t>
        </is>
      </c>
      <c r="H34" t="inlineStr">
        <is>
          <t>DIESEL</t>
        </is>
      </c>
      <c r="I34" t="inlineStr">
        <is>
          <t>FC 199 SH</t>
        </is>
      </c>
      <c r="J34" t="inlineStr">
        <is>
          <t>LKW</t>
        </is>
      </c>
      <c r="K34" t="n">
        <v>46.64</v>
      </c>
      <c r="L34" s="2" t="n">
        <v>1.5647541</v>
      </c>
      <c r="M34" s="2" t="n">
        <v>72.20999999999999</v>
      </c>
      <c r="N34" s="3" t="n">
        <v>0.22</v>
      </c>
      <c r="O34" s="4">
        <f>HYPERLINK("C:\Users\Dangi\Desktop\Buchhaltung\Beispiele\Unterordner 1\23030608431772_IT02046570426_3VRGB.xml.p7m", "23030608431772_IT02046570426_3VRGB.xml.p7m")</f>
        <v/>
      </c>
    </row>
    <row r="35">
      <c r="A35" t="inlineStr">
        <is>
          <t>Rechnung</t>
        </is>
      </c>
      <c r="B35" t="inlineStr">
        <is>
          <t>RECH-2023-2135</t>
        </is>
      </c>
      <c r="C35" t="inlineStr">
        <is>
          <t>2023-02-28</t>
        </is>
      </c>
      <c r="D35" t="inlineStr">
        <is>
          <t>Kostner Service GmbH</t>
        </is>
      </c>
      <c r="E35" t="inlineStr">
        <is>
          <t>02753540216</t>
        </is>
      </c>
      <c r="F35" t="inlineStr">
        <is>
          <t>KMS OHG des Matzoll Markus &amp; Co.</t>
        </is>
      </c>
      <c r="G35" t="inlineStr">
        <is>
          <t>01541130215</t>
        </is>
      </c>
      <c r="H35" t="inlineStr">
        <is>
          <t>DIESEL</t>
        </is>
      </c>
      <c r="I35" t="inlineStr">
        <is>
          <t>ED 108 VS</t>
        </is>
      </c>
      <c r="J35" t="inlineStr">
        <is>
          <t>LKW</t>
        </is>
      </c>
      <c r="K35" t="n">
        <v>33.17</v>
      </c>
      <c r="L35" s="2" t="n">
        <v>1.58934426</v>
      </c>
      <c r="M35" s="2" t="n">
        <v>52.17</v>
      </c>
      <c r="N35" s="3" t="n">
        <v>0.22</v>
      </c>
      <c r="O35" s="4">
        <f>HYPERLINK("C:\Users\Dangi\Desktop\Buchhaltung\Beispiele\Unterordner 1\23030608431772_IT02046570426_3VRGB.xml.p7m", "23030608431772_IT02046570426_3VRGB.xml.p7m")</f>
        <v/>
      </c>
    </row>
    <row r="36">
      <c r="A36" t="inlineStr">
        <is>
          <t>Rechnung</t>
        </is>
      </c>
      <c r="B36" t="inlineStr">
        <is>
          <t>RECH-2023-2135</t>
        </is>
      </c>
      <c r="C36" t="inlineStr">
        <is>
          <t>2023-02-28</t>
        </is>
      </c>
      <c r="D36" t="inlineStr">
        <is>
          <t>Kostner Service GmbH</t>
        </is>
      </c>
      <c r="E36" t="inlineStr">
        <is>
          <t>02753540216</t>
        </is>
      </c>
      <c r="F36" t="inlineStr">
        <is>
          <t>KMS OHG des Matzoll Markus &amp; Co.</t>
        </is>
      </c>
      <c r="G36" t="inlineStr">
        <is>
          <t>01541130215</t>
        </is>
      </c>
      <c r="H36" t="inlineStr">
        <is>
          <t>DIESEL</t>
        </is>
      </c>
      <c r="I36" t="inlineStr">
        <is>
          <t>EX 360 JZ</t>
        </is>
      </c>
      <c r="J36" t="inlineStr">
        <is>
          <t>LKW</t>
        </is>
      </c>
      <c r="K36" t="n">
        <v>39.22</v>
      </c>
      <c r="L36" s="2" t="n">
        <v>1.5647541</v>
      </c>
      <c r="M36" s="2" t="n">
        <v>60.73</v>
      </c>
      <c r="N36" s="3" t="n">
        <v>0.22</v>
      </c>
      <c r="O36" s="4">
        <f>HYPERLINK("C:\Users\Dangi\Desktop\Buchhaltung\Beispiele\Unterordner 1\23030608431772_IT02046570426_3VRGB.xml.p7m", "23030608431772_IT02046570426_3VRGB.xml.p7m")</f>
        <v/>
      </c>
    </row>
    <row r="37">
      <c r="A37" t="inlineStr">
        <is>
          <t>Rechnung</t>
        </is>
      </c>
      <c r="B37" t="inlineStr">
        <is>
          <t>RECH-2023-2135</t>
        </is>
      </c>
      <c r="C37" t="inlineStr">
        <is>
          <t>2023-02-28</t>
        </is>
      </c>
      <c r="D37" t="inlineStr">
        <is>
          <t>Kostner Service GmbH</t>
        </is>
      </c>
      <c r="E37" t="inlineStr">
        <is>
          <t>02753540216</t>
        </is>
      </c>
      <c r="F37" t="inlineStr">
        <is>
          <t>KMS OHG des Matzoll Markus &amp; Co.</t>
        </is>
      </c>
      <c r="G37" t="inlineStr">
        <is>
          <t>01541130215</t>
        </is>
      </c>
      <c r="H37" t="inlineStr">
        <is>
          <t>DIESEL</t>
        </is>
      </c>
      <c r="I37" t="inlineStr">
        <is>
          <t>FY 669 VW</t>
        </is>
      </c>
      <c r="J37" t="inlineStr">
        <is>
          <t>LKW</t>
        </is>
      </c>
      <c r="K37" t="n">
        <v>33.56</v>
      </c>
      <c r="L37" s="2" t="n">
        <v>1.54016393</v>
      </c>
      <c r="M37" s="2" t="n">
        <v>51.14</v>
      </c>
      <c r="N37" s="3" t="n">
        <v>0.22</v>
      </c>
      <c r="O37" s="4">
        <f>HYPERLINK("C:\Users\Dangi\Desktop\Buchhaltung\Beispiele\Unterordner 1\23030608431772_IT02046570426_3VRGB.xml.p7m", "23030608431772_IT02046570426_3VRGB.xml.p7m")</f>
        <v/>
      </c>
    </row>
    <row r="38">
      <c r="A38" t="inlineStr">
        <is>
          <t>Rechnung</t>
        </is>
      </c>
      <c r="B38" t="inlineStr">
        <is>
          <t>RECH-2023-3900</t>
        </is>
      </c>
      <c r="C38" t="inlineStr">
        <is>
          <t>2023-03-31</t>
        </is>
      </c>
      <c r="D38" t="inlineStr">
        <is>
          <t>Kostner Service GmbH</t>
        </is>
      </c>
      <c r="E38" t="inlineStr">
        <is>
          <t>02753540216</t>
        </is>
      </c>
      <c r="F38" t="inlineStr">
        <is>
          <t>KMS OHG des Matzoll Markus &amp; Co.</t>
        </is>
      </c>
      <c r="G38" t="inlineStr">
        <is>
          <t>01541130215</t>
        </is>
      </c>
      <c r="H38" t="inlineStr">
        <is>
          <t>DIESEL</t>
        </is>
      </c>
      <c r="I38" t="inlineStr">
        <is>
          <t>FL 700 BA</t>
        </is>
      </c>
      <c r="J38" t="inlineStr">
        <is>
          <t>PKW</t>
        </is>
      </c>
      <c r="K38" t="n">
        <v>47.95</v>
      </c>
      <c r="L38" s="2" t="n">
        <v>1.54836065</v>
      </c>
      <c r="M38" s="2" t="n">
        <v>73.45999999999999</v>
      </c>
      <c r="N38" s="3" t="n">
        <v>0.22</v>
      </c>
      <c r="O38" s="4">
        <f>HYPERLINK("C:\Users\Dangi\Desktop\Buchhaltung\Beispiele\Unterordner 1\23040612592873_IT02046570426_4fM22.xml.p7m", "23040612592873_IT02046570426_4fM22.xml.p7m")</f>
        <v/>
      </c>
    </row>
    <row r="39">
      <c r="A39" t="inlineStr">
        <is>
          <t>Rechnung</t>
        </is>
      </c>
      <c r="B39" t="inlineStr">
        <is>
          <t>RECH-2023-3900</t>
        </is>
      </c>
      <c r="C39" t="inlineStr">
        <is>
          <t>2023-03-31</t>
        </is>
      </c>
      <c r="D39" t="inlineStr">
        <is>
          <t>Kostner Service GmbH</t>
        </is>
      </c>
      <c r="E39" t="inlineStr">
        <is>
          <t>02753540216</t>
        </is>
      </c>
      <c r="F39" t="inlineStr">
        <is>
          <t>KMS OHG des Matzoll Markus &amp; Co.</t>
        </is>
      </c>
      <c r="G39" t="inlineStr">
        <is>
          <t>01541130215</t>
        </is>
      </c>
      <c r="H39" t="inlineStr">
        <is>
          <t>DIESEL</t>
        </is>
      </c>
      <c r="I39" t="inlineStr">
        <is>
          <t>FF 980 YV</t>
        </is>
      </c>
      <c r="J39" t="inlineStr">
        <is>
          <t>LKW</t>
        </is>
      </c>
      <c r="K39" t="n">
        <v>244.01</v>
      </c>
      <c r="L39" s="2" t="n">
        <v>1.54016394</v>
      </c>
      <c r="M39" s="2" t="n">
        <v>371.81</v>
      </c>
      <c r="N39" s="3" t="n">
        <v>0.22</v>
      </c>
      <c r="O39" s="4">
        <f>HYPERLINK("C:\Users\Dangi\Desktop\Buchhaltung\Beispiele\Unterordner 1\23040612592873_IT02046570426_4fM22.xml.p7m", "23040612592873_IT02046570426_4fM22.xml.p7m")</f>
        <v/>
      </c>
    </row>
    <row r="40">
      <c r="A40" t="inlineStr">
        <is>
          <t>Rechnung</t>
        </is>
      </c>
      <c r="B40" t="inlineStr">
        <is>
          <t>RECH-2023-3900</t>
        </is>
      </c>
      <c r="C40" t="inlineStr">
        <is>
          <t>2023-03-31</t>
        </is>
      </c>
      <c r="D40" t="inlineStr">
        <is>
          <t>Kostner Service GmbH</t>
        </is>
      </c>
      <c r="E40" t="inlineStr">
        <is>
          <t>02753540216</t>
        </is>
      </c>
      <c r="F40" t="inlineStr">
        <is>
          <t>KMS OHG des Matzoll Markus &amp; Co.</t>
        </is>
      </c>
      <c r="G40" t="inlineStr">
        <is>
          <t>01541130215</t>
        </is>
      </c>
      <c r="H40" t="inlineStr">
        <is>
          <t>DIESEL</t>
        </is>
      </c>
      <c r="I40" t="inlineStr">
        <is>
          <t>FF 980 YV</t>
        </is>
      </c>
      <c r="J40" t="inlineStr">
        <is>
          <t>LKW</t>
        </is>
      </c>
      <c r="K40" t="n">
        <v>221.91</v>
      </c>
      <c r="L40" s="2" t="n">
        <v>1.52377049</v>
      </c>
      <c r="M40" s="2" t="n">
        <v>334.5</v>
      </c>
      <c r="N40" s="3" t="n">
        <v>0.22</v>
      </c>
      <c r="O40" s="4">
        <f>HYPERLINK("C:\Users\Dangi\Desktop\Buchhaltung\Beispiele\Unterordner 1\23040612592873_IT02046570426_4fM22.xml.p7m", "23040612592873_IT02046570426_4fM22.xml.p7m")</f>
        <v/>
      </c>
    </row>
    <row r="41">
      <c r="A41" t="inlineStr">
        <is>
          <t>Rechnung</t>
        </is>
      </c>
      <c r="B41" t="inlineStr">
        <is>
          <t>RECH-2023-3900</t>
        </is>
      </c>
      <c r="C41" t="inlineStr">
        <is>
          <t>2023-03-31</t>
        </is>
      </c>
      <c r="D41" t="inlineStr">
        <is>
          <t>Kostner Service GmbH</t>
        </is>
      </c>
      <c r="E41" t="inlineStr">
        <is>
          <t>02753540216</t>
        </is>
      </c>
      <c r="F41" t="inlineStr">
        <is>
          <t>KMS OHG des Matzoll Markus &amp; Co.</t>
        </is>
      </c>
      <c r="G41" t="inlineStr">
        <is>
          <t>01541130215</t>
        </is>
      </c>
      <c r="H41" t="inlineStr">
        <is>
          <t>DIESEL</t>
        </is>
      </c>
      <c r="I41" t="inlineStr">
        <is>
          <t>BZ 529 AA</t>
        </is>
      </c>
      <c r="J41" t="inlineStr">
        <is>
          <t>LKW</t>
        </is>
      </c>
      <c r="K41" t="n">
        <v>92.66</v>
      </c>
      <c r="L41" s="2" t="n">
        <v>1.54836065</v>
      </c>
      <c r="M41" s="2" t="n">
        <v>141.95</v>
      </c>
      <c r="N41" s="3" t="n">
        <v>0.22</v>
      </c>
      <c r="O41" s="4">
        <f>HYPERLINK("C:\Users\Dangi\Desktop\Buchhaltung\Beispiele\Unterordner 1\23040612592873_IT02046570426_4fM22.xml.p7m", "23040612592873_IT02046570426_4fM22.xml.p7m")</f>
        <v/>
      </c>
    </row>
    <row r="42">
      <c r="A42" t="inlineStr">
        <is>
          <t>Rechnung</t>
        </is>
      </c>
      <c r="B42" t="inlineStr">
        <is>
          <t>RECH-2023-3900</t>
        </is>
      </c>
      <c r="C42" t="inlineStr">
        <is>
          <t>2023-03-31</t>
        </is>
      </c>
      <c r="D42" t="inlineStr">
        <is>
          <t>Kostner Service GmbH</t>
        </is>
      </c>
      <c r="E42" t="inlineStr">
        <is>
          <t>02753540216</t>
        </is>
      </c>
      <c r="F42" t="inlineStr">
        <is>
          <t>KMS OHG des Matzoll Markus &amp; Co.</t>
        </is>
      </c>
      <c r="G42" t="inlineStr">
        <is>
          <t>01541130215</t>
        </is>
      </c>
      <c r="H42" t="inlineStr">
        <is>
          <t>DIESEL</t>
        </is>
      </c>
      <c r="I42" t="inlineStr">
        <is>
          <t>BZ 529 AA</t>
        </is>
      </c>
      <c r="J42" t="inlineStr">
        <is>
          <t>LKW</t>
        </is>
      </c>
      <c r="K42" t="n">
        <v>157.86</v>
      </c>
      <c r="L42" s="2" t="n">
        <v>1.53196721</v>
      </c>
      <c r="M42" s="2" t="n">
        <v>239.25</v>
      </c>
      <c r="N42" s="3" t="n">
        <v>0.22</v>
      </c>
      <c r="O42" s="4">
        <f>HYPERLINK("C:\Users\Dangi\Desktop\Buchhaltung\Beispiele\Unterordner 1\23040612592873_IT02046570426_4fM22.xml.p7m", "23040612592873_IT02046570426_4fM22.xml.p7m")</f>
        <v/>
      </c>
    </row>
    <row r="43">
      <c r="A43" t="inlineStr">
        <is>
          <t>Rechnung</t>
        </is>
      </c>
      <c r="B43" t="inlineStr">
        <is>
          <t>RECH-2023-3900</t>
        </is>
      </c>
      <c r="C43" t="inlineStr">
        <is>
          <t>2023-03-31</t>
        </is>
      </c>
      <c r="D43" t="inlineStr">
        <is>
          <t>Kostner Service GmbH</t>
        </is>
      </c>
      <c r="E43" t="inlineStr">
        <is>
          <t>02753540216</t>
        </is>
      </c>
      <c r="F43" t="inlineStr">
        <is>
          <t>KMS OHG des Matzoll Markus &amp; Co.</t>
        </is>
      </c>
      <c r="G43" t="inlineStr">
        <is>
          <t>01541130215</t>
        </is>
      </c>
      <c r="H43" t="inlineStr">
        <is>
          <t>DIESEL</t>
        </is>
      </c>
      <c r="I43" t="inlineStr">
        <is>
          <t>DY 410 JB</t>
        </is>
      </c>
      <c r="J43" t="inlineStr">
        <is>
          <t>LKW</t>
        </is>
      </c>
      <c r="K43" t="n">
        <v>168.52</v>
      </c>
      <c r="L43" s="2" t="n">
        <v>1.55655737</v>
      </c>
      <c r="M43" s="2" t="n">
        <v>259.55</v>
      </c>
      <c r="N43" s="3" t="n">
        <v>0.22</v>
      </c>
      <c r="O43" s="4">
        <f>HYPERLINK("C:\Users\Dangi\Desktop\Buchhaltung\Beispiele\Unterordner 1\23040612592873_IT02046570426_4fM22.xml.p7m", "23040612592873_IT02046570426_4fM22.xml.p7m")</f>
        <v/>
      </c>
    </row>
    <row r="44">
      <c r="A44" t="inlineStr">
        <is>
          <t>Rechnung</t>
        </is>
      </c>
      <c r="B44" t="inlineStr">
        <is>
          <t>RECH-2023-3900</t>
        </is>
      </c>
      <c r="C44" t="inlineStr">
        <is>
          <t>2023-03-31</t>
        </is>
      </c>
      <c r="D44" t="inlineStr">
        <is>
          <t>Kostner Service GmbH</t>
        </is>
      </c>
      <c r="E44" t="inlineStr">
        <is>
          <t>02753540216</t>
        </is>
      </c>
      <c r="F44" t="inlineStr">
        <is>
          <t>KMS OHG des Matzoll Markus &amp; Co.</t>
        </is>
      </c>
      <c r="G44" t="inlineStr">
        <is>
          <t>01541130215</t>
        </is>
      </c>
      <c r="H44" t="inlineStr">
        <is>
          <t>DIESEL</t>
        </is>
      </c>
      <c r="I44" t="inlineStr">
        <is>
          <t>DY 410 JB</t>
        </is>
      </c>
      <c r="J44" t="inlineStr">
        <is>
          <t>LKW</t>
        </is>
      </c>
      <c r="K44" t="n">
        <v>238.35</v>
      </c>
      <c r="L44" s="2" t="n">
        <v>1.5647541</v>
      </c>
      <c r="M44" s="2" t="n">
        <v>369.05</v>
      </c>
      <c r="N44" s="3" t="n">
        <v>0.22</v>
      </c>
      <c r="O44" s="4">
        <f>HYPERLINK("C:\Users\Dangi\Desktop\Buchhaltung\Beispiele\Unterordner 1\23040612592873_IT02046570426_4fM22.xml.p7m", "23040612592873_IT02046570426_4fM22.xml.p7m")</f>
        <v/>
      </c>
    </row>
    <row r="45">
      <c r="A45" t="inlineStr">
        <is>
          <t>Rechnung</t>
        </is>
      </c>
      <c r="B45" t="inlineStr">
        <is>
          <t>RECH-2023-3900</t>
        </is>
      </c>
      <c r="C45" t="inlineStr">
        <is>
          <t>2023-03-31</t>
        </is>
      </c>
      <c r="D45" t="inlineStr">
        <is>
          <t>Kostner Service GmbH</t>
        </is>
      </c>
      <c r="E45" t="inlineStr">
        <is>
          <t>02753540216</t>
        </is>
      </c>
      <c r="F45" t="inlineStr">
        <is>
          <t>KMS OHG des Matzoll Markus &amp; Co.</t>
        </is>
      </c>
      <c r="G45" t="inlineStr">
        <is>
          <t>01541130215</t>
        </is>
      </c>
      <c r="H45" t="inlineStr">
        <is>
          <t>DIESEL</t>
        </is>
      </c>
      <c r="I45" t="inlineStr">
        <is>
          <t>DY 410 JB</t>
        </is>
      </c>
      <c r="J45" t="inlineStr">
        <is>
          <t>LKW</t>
        </is>
      </c>
      <c r="K45" t="n">
        <v>229.97</v>
      </c>
      <c r="L45" s="2" t="n">
        <v>1.5647541</v>
      </c>
      <c r="M45" s="2" t="n">
        <v>356.07</v>
      </c>
      <c r="N45" s="3" t="n">
        <v>0.22</v>
      </c>
      <c r="O45" s="4">
        <f>HYPERLINK("C:\Users\Dangi\Desktop\Buchhaltung\Beispiele\Unterordner 1\23040612592873_IT02046570426_4fM22.xml.p7m", "23040612592873_IT02046570426_4fM22.xml.p7m")</f>
        <v/>
      </c>
    </row>
    <row r="46">
      <c r="A46" t="inlineStr">
        <is>
          <t>Rechnung</t>
        </is>
      </c>
      <c r="B46" t="inlineStr">
        <is>
          <t>RECH-2023-3900</t>
        </is>
      </c>
      <c r="C46" t="inlineStr">
        <is>
          <t>2023-03-31</t>
        </is>
      </c>
      <c r="D46" t="inlineStr">
        <is>
          <t>Kostner Service GmbH</t>
        </is>
      </c>
      <c r="E46" t="inlineStr">
        <is>
          <t>02753540216</t>
        </is>
      </c>
      <c r="F46" t="inlineStr">
        <is>
          <t>KMS OHG des Matzoll Markus &amp; Co.</t>
        </is>
      </c>
      <c r="G46" t="inlineStr">
        <is>
          <t>01541130215</t>
        </is>
      </c>
      <c r="H46" t="inlineStr">
        <is>
          <t>DIESEL</t>
        </is>
      </c>
      <c r="I46" t="inlineStr">
        <is>
          <t>DY 410 JB</t>
        </is>
      </c>
      <c r="J46" t="inlineStr">
        <is>
          <t>LKW</t>
        </is>
      </c>
      <c r="K46" t="n">
        <v>222.35</v>
      </c>
      <c r="L46" s="2" t="n">
        <v>1.54836066</v>
      </c>
      <c r="M46" s="2" t="n">
        <v>340.63</v>
      </c>
      <c r="N46" s="3" t="n">
        <v>0.22</v>
      </c>
      <c r="O46" s="4">
        <f>HYPERLINK("C:\Users\Dangi\Desktop\Buchhaltung\Beispiele\Unterordner 1\23040612592873_IT02046570426_4fM22.xml.p7m", "23040612592873_IT02046570426_4fM22.xml.p7m")</f>
        <v/>
      </c>
    </row>
    <row r="47">
      <c r="A47" t="inlineStr">
        <is>
          <t>Rechnung</t>
        </is>
      </c>
      <c r="B47" t="inlineStr">
        <is>
          <t>RECH-2023-3900</t>
        </is>
      </c>
      <c r="C47" t="inlineStr">
        <is>
          <t>2023-03-31</t>
        </is>
      </c>
      <c r="D47" t="inlineStr">
        <is>
          <t>Kostner Service GmbH</t>
        </is>
      </c>
      <c r="E47" t="inlineStr">
        <is>
          <t>02753540216</t>
        </is>
      </c>
      <c r="F47" t="inlineStr">
        <is>
          <t>KMS OHG des Matzoll Markus &amp; Co.</t>
        </is>
      </c>
      <c r="G47" t="inlineStr">
        <is>
          <t>01541130215</t>
        </is>
      </c>
      <c r="H47" t="inlineStr">
        <is>
          <t>DIESEL</t>
        </is>
      </c>
      <c r="I47" t="inlineStr">
        <is>
          <t>DY 410 JB</t>
        </is>
      </c>
      <c r="J47" t="inlineStr">
        <is>
          <t>LKW</t>
        </is>
      </c>
      <c r="K47" t="n">
        <v>238.11</v>
      </c>
      <c r="L47" s="2" t="n">
        <v>1.53196721</v>
      </c>
      <c r="M47" s="2" t="n">
        <v>360.88</v>
      </c>
      <c r="N47" s="3" t="n">
        <v>0.22</v>
      </c>
      <c r="O47" s="4">
        <f>HYPERLINK("C:\Users\Dangi\Desktop\Buchhaltung\Beispiele\Unterordner 1\23040612592873_IT02046570426_4fM22.xml.p7m", "23040612592873_IT02046570426_4fM22.xml.p7m")</f>
        <v/>
      </c>
    </row>
    <row r="48">
      <c r="A48" t="inlineStr">
        <is>
          <t>Rechnung</t>
        </is>
      </c>
      <c r="B48" t="inlineStr">
        <is>
          <t>RECH-2023-3900</t>
        </is>
      </c>
      <c r="C48" t="inlineStr">
        <is>
          <t>2023-03-31</t>
        </is>
      </c>
      <c r="D48" t="inlineStr">
        <is>
          <t>Kostner Service GmbH</t>
        </is>
      </c>
      <c r="E48" t="inlineStr">
        <is>
          <t>02753540216</t>
        </is>
      </c>
      <c r="F48" t="inlineStr">
        <is>
          <t>KMS OHG des Matzoll Markus &amp; Co.</t>
        </is>
      </c>
      <c r="G48" t="inlineStr">
        <is>
          <t>01541130215</t>
        </is>
      </c>
      <c r="H48" t="inlineStr">
        <is>
          <t>DIESEL</t>
        </is>
      </c>
      <c r="I48" t="inlineStr">
        <is>
          <t>DY 410 JB</t>
        </is>
      </c>
      <c r="J48" t="inlineStr">
        <is>
          <t>LKW</t>
        </is>
      </c>
      <c r="K48" t="n">
        <v>136.65</v>
      </c>
      <c r="L48" s="2" t="n">
        <v>1.5237705</v>
      </c>
      <c r="M48" s="2" t="n">
        <v>205.98</v>
      </c>
      <c r="N48" s="3" t="n">
        <v>0.22</v>
      </c>
      <c r="O48" s="4">
        <f>HYPERLINK("C:\Users\Dangi\Desktop\Buchhaltung\Beispiele\Unterordner 1\23040612592873_IT02046570426_4fM22.xml.p7m", "23040612592873_IT02046570426_4fM22.xml.p7m")</f>
        <v/>
      </c>
    </row>
    <row r="49">
      <c r="A49" t="inlineStr">
        <is>
          <t>Rechnung</t>
        </is>
      </c>
      <c r="B49" t="inlineStr">
        <is>
          <t>RECH-2023-3900</t>
        </is>
      </c>
      <c r="C49" t="inlineStr">
        <is>
          <t>2023-03-31</t>
        </is>
      </c>
      <c r="D49" t="inlineStr">
        <is>
          <t>Kostner Service GmbH</t>
        </is>
      </c>
      <c r="E49" t="inlineStr">
        <is>
          <t>02753540216</t>
        </is>
      </c>
      <c r="F49" t="inlineStr">
        <is>
          <t>KMS OHG des Matzoll Markus &amp; Co.</t>
        </is>
      </c>
      <c r="G49" t="inlineStr">
        <is>
          <t>01541130215</t>
        </is>
      </c>
      <c r="H49" t="inlineStr">
        <is>
          <t>DIESEL</t>
        </is>
      </c>
      <c r="I49" t="inlineStr">
        <is>
          <t>DY 410 JB</t>
        </is>
      </c>
      <c r="J49" t="inlineStr">
        <is>
          <t>LKW</t>
        </is>
      </c>
      <c r="K49" t="n">
        <v>230.5</v>
      </c>
      <c r="L49" s="2" t="n">
        <v>1.50737705</v>
      </c>
      <c r="M49" s="2" t="n">
        <v>343.67</v>
      </c>
      <c r="N49" s="3" t="n">
        <v>0.22</v>
      </c>
      <c r="O49" s="4">
        <f>HYPERLINK("C:\Users\Dangi\Desktop\Buchhaltung\Beispiele\Unterordner 1\23040612592873_IT02046570426_4fM22.xml.p7m", "23040612592873_IT02046570426_4fM22.xml.p7m")</f>
        <v/>
      </c>
    </row>
    <row r="50">
      <c r="A50" t="inlineStr">
        <is>
          <t>Rechnung</t>
        </is>
      </c>
      <c r="B50" t="inlineStr">
        <is>
          <t>RECH-2023-3900</t>
        </is>
      </c>
      <c r="C50" t="inlineStr">
        <is>
          <t>2023-03-31</t>
        </is>
      </c>
      <c r="D50" t="inlineStr">
        <is>
          <t>Kostner Service GmbH</t>
        </is>
      </c>
      <c r="E50" t="inlineStr">
        <is>
          <t>02753540216</t>
        </is>
      </c>
      <c r="F50" t="inlineStr">
        <is>
          <t>KMS OHG des Matzoll Markus &amp; Co.</t>
        </is>
      </c>
      <c r="G50" t="inlineStr">
        <is>
          <t>01541130215</t>
        </is>
      </c>
      <c r="H50" t="inlineStr">
        <is>
          <t>DIESEL</t>
        </is>
      </c>
      <c r="I50" t="inlineStr">
        <is>
          <t>DY 410 JB</t>
        </is>
      </c>
      <c r="J50" t="inlineStr">
        <is>
          <t>LKW</t>
        </is>
      </c>
      <c r="K50" t="n">
        <v>196.33</v>
      </c>
      <c r="L50" s="2" t="n">
        <v>1.51557377</v>
      </c>
      <c r="M50" s="2" t="n">
        <v>294.34</v>
      </c>
      <c r="N50" s="3" t="n">
        <v>0.22</v>
      </c>
      <c r="O50" s="4">
        <f>HYPERLINK("C:\Users\Dangi\Desktop\Buchhaltung\Beispiele\Unterordner 1\23040612592873_IT02046570426_4fM22.xml.p7m", "23040612592873_IT02046570426_4fM22.xml.p7m")</f>
        <v/>
      </c>
    </row>
    <row r="51">
      <c r="A51" t="inlineStr">
        <is>
          <t>Rechnung</t>
        </is>
      </c>
      <c r="B51" t="inlineStr">
        <is>
          <t>RECH-2023-3900</t>
        </is>
      </c>
      <c r="C51" t="inlineStr">
        <is>
          <t>2023-03-31</t>
        </is>
      </c>
      <c r="D51" t="inlineStr">
        <is>
          <t>Kostner Service GmbH</t>
        </is>
      </c>
      <c r="E51" t="inlineStr">
        <is>
          <t>02753540216</t>
        </is>
      </c>
      <c r="F51" t="inlineStr">
        <is>
          <t>KMS OHG des Matzoll Markus &amp; Co.</t>
        </is>
      </c>
      <c r="G51" t="inlineStr">
        <is>
          <t>01541130215</t>
        </is>
      </c>
      <c r="H51" t="inlineStr">
        <is>
          <t>DIESEL</t>
        </is>
      </c>
      <c r="I51" t="inlineStr">
        <is>
          <t>DY 410 JB</t>
        </is>
      </c>
      <c r="J51" t="inlineStr">
        <is>
          <t>LKW</t>
        </is>
      </c>
      <c r="K51" t="n">
        <v>135.24</v>
      </c>
      <c r="L51" s="2" t="n">
        <v>1.51557377</v>
      </c>
      <c r="M51" s="2" t="n">
        <v>202.75</v>
      </c>
      <c r="N51" s="3" t="n">
        <v>0.22</v>
      </c>
      <c r="O51" s="4">
        <f>HYPERLINK("C:\Users\Dangi\Desktop\Buchhaltung\Beispiele\Unterordner 1\23040612592873_IT02046570426_4fM22.xml.p7m", "23040612592873_IT02046570426_4fM22.xml.p7m")</f>
        <v/>
      </c>
    </row>
    <row r="52">
      <c r="A52" t="inlineStr">
        <is>
          <t>Rechnung</t>
        </is>
      </c>
      <c r="B52" t="inlineStr">
        <is>
          <t>RECH-2023-3900</t>
        </is>
      </c>
      <c r="C52" t="inlineStr">
        <is>
          <t>2023-03-31</t>
        </is>
      </c>
      <c r="D52" t="inlineStr">
        <is>
          <t>Kostner Service GmbH</t>
        </is>
      </c>
      <c r="E52" t="inlineStr">
        <is>
          <t>02753540216</t>
        </is>
      </c>
      <c r="F52" t="inlineStr">
        <is>
          <t>KMS OHG des Matzoll Markus &amp; Co.</t>
        </is>
      </c>
      <c r="G52" t="inlineStr">
        <is>
          <t>01541130215</t>
        </is>
      </c>
      <c r="H52" t="inlineStr">
        <is>
          <t>DIESEL</t>
        </is>
      </c>
      <c r="I52" t="inlineStr">
        <is>
          <t>GE 702 BF</t>
        </is>
      </c>
      <c r="J52" t="inlineStr">
        <is>
          <t>LKW</t>
        </is>
      </c>
      <c r="K52" t="n">
        <v>90.36</v>
      </c>
      <c r="L52" s="2" t="n">
        <v>1.55655737</v>
      </c>
      <c r="M52" s="2" t="n">
        <v>139.17</v>
      </c>
      <c r="N52" s="3" t="n">
        <v>0.22</v>
      </c>
      <c r="O52" s="4">
        <f>HYPERLINK("C:\Users\Dangi\Desktop\Buchhaltung\Beispiele\Unterordner 1\23040612592873_IT02046570426_4fM22.xml.p7m", "23040612592873_IT02046570426_4fM22.xml.p7m")</f>
        <v/>
      </c>
    </row>
    <row r="53">
      <c r="A53" t="inlineStr">
        <is>
          <t>Rechnung</t>
        </is>
      </c>
      <c r="B53" t="inlineStr">
        <is>
          <t>RECH-2023-3900</t>
        </is>
      </c>
      <c r="C53" t="inlineStr">
        <is>
          <t>2023-03-31</t>
        </is>
      </c>
      <c r="D53" t="inlineStr">
        <is>
          <t>Kostner Service GmbH</t>
        </is>
      </c>
      <c r="E53" t="inlineStr">
        <is>
          <t>02753540216</t>
        </is>
      </c>
      <c r="F53" t="inlineStr">
        <is>
          <t>KMS OHG des Matzoll Markus &amp; Co.</t>
        </is>
      </c>
      <c r="G53" t="inlineStr">
        <is>
          <t>01541130215</t>
        </is>
      </c>
      <c r="H53" t="inlineStr">
        <is>
          <t>DIESEL</t>
        </is>
      </c>
      <c r="I53" t="inlineStr">
        <is>
          <t>GE 702 BF</t>
        </is>
      </c>
      <c r="J53" t="inlineStr">
        <is>
          <t>LKW</t>
        </is>
      </c>
      <c r="K53" t="n">
        <v>199.61</v>
      </c>
      <c r="L53" s="2" t="n">
        <v>1.54016393</v>
      </c>
      <c r="M53" s="2" t="n">
        <v>304.16</v>
      </c>
      <c r="N53" s="3" t="n">
        <v>0.22</v>
      </c>
      <c r="O53" s="4">
        <f>HYPERLINK("C:\Users\Dangi\Desktop\Buchhaltung\Beispiele\Unterordner 1\23040612592873_IT02046570426_4fM22.xml.p7m", "23040612592873_IT02046570426_4fM22.xml.p7m")</f>
        <v/>
      </c>
    </row>
    <row r="54">
      <c r="A54" t="inlineStr">
        <is>
          <t>Rechnung</t>
        </is>
      </c>
      <c r="B54" t="inlineStr">
        <is>
          <t>RECH-2023-3900</t>
        </is>
      </c>
      <c r="C54" t="inlineStr">
        <is>
          <t>2023-03-31</t>
        </is>
      </c>
      <c r="D54" t="inlineStr">
        <is>
          <t>Kostner Service GmbH</t>
        </is>
      </c>
      <c r="E54" t="inlineStr">
        <is>
          <t>02753540216</t>
        </is>
      </c>
      <c r="F54" t="inlineStr">
        <is>
          <t>KMS OHG des Matzoll Markus &amp; Co.</t>
        </is>
      </c>
      <c r="G54" t="inlineStr">
        <is>
          <t>01541130215</t>
        </is>
      </c>
      <c r="H54" t="inlineStr">
        <is>
          <t>DIESEL</t>
        </is>
      </c>
      <c r="I54" t="inlineStr">
        <is>
          <t>GE 702 BF</t>
        </is>
      </c>
      <c r="J54" t="inlineStr">
        <is>
          <t>LKW</t>
        </is>
      </c>
      <c r="K54" t="n">
        <v>136.27</v>
      </c>
      <c r="L54" s="2" t="n">
        <v>1.5647541</v>
      </c>
      <c r="M54" s="2" t="n">
        <v>210.99</v>
      </c>
      <c r="N54" s="3" t="n">
        <v>0.22</v>
      </c>
      <c r="O54" s="4">
        <f>HYPERLINK("C:\Users\Dangi\Desktop\Buchhaltung\Beispiele\Unterordner 1\23040612592873_IT02046570426_4fM22.xml.p7m", "23040612592873_IT02046570426_4fM22.xml.p7m")</f>
        <v/>
      </c>
    </row>
    <row r="55">
      <c r="A55" t="inlineStr">
        <is>
          <t>Rechnung</t>
        </is>
      </c>
      <c r="B55" t="inlineStr">
        <is>
          <t>RECH-2023-3900</t>
        </is>
      </c>
      <c r="C55" t="inlineStr">
        <is>
          <t>2023-03-31</t>
        </is>
      </c>
      <c r="D55" t="inlineStr">
        <is>
          <t>Kostner Service GmbH</t>
        </is>
      </c>
      <c r="E55" t="inlineStr">
        <is>
          <t>02753540216</t>
        </is>
      </c>
      <c r="F55" t="inlineStr">
        <is>
          <t>KMS OHG des Matzoll Markus &amp; Co.</t>
        </is>
      </c>
      <c r="G55" t="inlineStr">
        <is>
          <t>01541130215</t>
        </is>
      </c>
      <c r="H55" t="inlineStr">
        <is>
          <t>DIESEL</t>
        </is>
      </c>
      <c r="I55" t="inlineStr">
        <is>
          <t>GE 702 BF</t>
        </is>
      </c>
      <c r="J55" t="inlineStr">
        <is>
          <t>LKW</t>
        </is>
      </c>
      <c r="K55" t="n">
        <v>245</v>
      </c>
      <c r="L55" s="2" t="n">
        <v>1.54016394</v>
      </c>
      <c r="M55" s="2" t="n">
        <v>373.33</v>
      </c>
      <c r="N55" s="3" t="n">
        <v>0.22</v>
      </c>
      <c r="O55" s="4">
        <f>HYPERLINK("C:\Users\Dangi\Desktop\Buchhaltung\Beispiele\Unterordner 1\23040612592873_IT02046570426_4fM22.xml.p7m", "23040612592873_IT02046570426_4fM22.xml.p7m")</f>
        <v/>
      </c>
    </row>
    <row r="56">
      <c r="A56" t="inlineStr">
        <is>
          <t>Rechnung</t>
        </is>
      </c>
      <c r="B56" t="inlineStr">
        <is>
          <t>RECH-2023-3900</t>
        </is>
      </c>
      <c r="C56" t="inlineStr">
        <is>
          <t>2023-03-31</t>
        </is>
      </c>
      <c r="D56" t="inlineStr">
        <is>
          <t>Kostner Service GmbH</t>
        </is>
      </c>
      <c r="E56" t="inlineStr">
        <is>
          <t>02753540216</t>
        </is>
      </c>
      <c r="F56" t="inlineStr">
        <is>
          <t>KMS OHG des Matzoll Markus &amp; Co.</t>
        </is>
      </c>
      <c r="G56" t="inlineStr">
        <is>
          <t>01541130215</t>
        </is>
      </c>
      <c r="H56" t="inlineStr">
        <is>
          <t>DIESEL</t>
        </is>
      </c>
      <c r="I56" t="inlineStr">
        <is>
          <t>BX 461 XP</t>
        </is>
      </c>
      <c r="J56" t="inlineStr">
        <is>
          <t>LKW</t>
        </is>
      </c>
      <c r="K56" t="n">
        <v>24.24</v>
      </c>
      <c r="L56" s="2" t="n">
        <v>1.53196722</v>
      </c>
      <c r="M56" s="2" t="n">
        <v>36.74</v>
      </c>
      <c r="N56" s="3" t="n">
        <v>0.22</v>
      </c>
      <c r="O56" s="4">
        <f>HYPERLINK("C:\Users\Dangi\Desktop\Buchhaltung\Beispiele\Unterordner 1\23040612592873_IT02046570426_4fM22.xml.p7m", "23040612592873_IT02046570426_4fM22.xml.p7m")</f>
        <v/>
      </c>
    </row>
    <row r="57">
      <c r="A57" t="inlineStr">
        <is>
          <t>Rechnung</t>
        </is>
      </c>
      <c r="B57" t="inlineStr">
        <is>
          <t>RECH-2023-3900</t>
        </is>
      </c>
      <c r="C57" t="inlineStr">
        <is>
          <t>2023-03-31</t>
        </is>
      </c>
      <c r="D57" t="inlineStr">
        <is>
          <t>Kostner Service GmbH</t>
        </is>
      </c>
      <c r="E57" t="inlineStr">
        <is>
          <t>02753540216</t>
        </is>
      </c>
      <c r="F57" t="inlineStr">
        <is>
          <t>KMS OHG des Matzoll Markus &amp; Co.</t>
        </is>
      </c>
      <c r="G57" t="inlineStr">
        <is>
          <t>01541130215</t>
        </is>
      </c>
      <c r="H57" t="inlineStr">
        <is>
          <t>DIESEL</t>
        </is>
      </c>
      <c r="I57" t="inlineStr">
        <is>
          <t>FN 753 YS</t>
        </is>
      </c>
      <c r="J57" t="inlineStr">
        <is>
          <t>LKW</t>
        </is>
      </c>
      <c r="K57" t="n">
        <v>55.93</v>
      </c>
      <c r="L57" s="2" t="n">
        <v>1.55655738</v>
      </c>
      <c r="M57" s="2" t="n">
        <v>86.14</v>
      </c>
      <c r="N57" s="3" t="n">
        <v>0.22</v>
      </c>
      <c r="O57" s="4">
        <f>HYPERLINK("C:\Users\Dangi\Desktop\Buchhaltung\Beispiele\Unterordner 1\23040612592873_IT02046570426_4fM22.xml.p7m", "23040612592873_IT02046570426_4fM22.xml.p7m")</f>
        <v/>
      </c>
    </row>
    <row r="58">
      <c r="A58" t="inlineStr">
        <is>
          <t>Rechnung</t>
        </is>
      </c>
      <c r="B58" t="inlineStr">
        <is>
          <t>RECH-2023-3900</t>
        </is>
      </c>
      <c r="C58" t="inlineStr">
        <is>
          <t>2023-03-31</t>
        </is>
      </c>
      <c r="D58" t="inlineStr">
        <is>
          <t>Kostner Service GmbH</t>
        </is>
      </c>
      <c r="E58" t="inlineStr">
        <is>
          <t>02753540216</t>
        </is>
      </c>
      <c r="F58" t="inlineStr">
        <is>
          <t>KMS OHG des Matzoll Markus &amp; Co.</t>
        </is>
      </c>
      <c r="G58" t="inlineStr">
        <is>
          <t>01541130215</t>
        </is>
      </c>
      <c r="H58" t="inlineStr">
        <is>
          <t>DIESEL</t>
        </is>
      </c>
      <c r="I58" t="inlineStr">
        <is>
          <t>FN 753 YS</t>
        </is>
      </c>
      <c r="J58" t="inlineStr">
        <is>
          <t>LKW</t>
        </is>
      </c>
      <c r="K58" t="n">
        <v>59.09</v>
      </c>
      <c r="L58" s="2" t="n">
        <v>1.54016394</v>
      </c>
      <c r="M58" s="2" t="n">
        <v>90.04000000000001</v>
      </c>
      <c r="N58" s="3" t="n">
        <v>0.22</v>
      </c>
      <c r="O58" s="4">
        <f>HYPERLINK("C:\Users\Dangi\Desktop\Buchhaltung\Beispiele\Unterordner 1\23040612592873_IT02046570426_4fM22.xml.p7m", "23040612592873_IT02046570426_4fM22.xml.p7m")</f>
        <v/>
      </c>
    </row>
    <row r="59">
      <c r="A59" t="inlineStr">
        <is>
          <t>Rechnung</t>
        </is>
      </c>
      <c r="B59" t="inlineStr">
        <is>
          <t>RECH-2023-3900</t>
        </is>
      </c>
      <c r="C59" t="inlineStr">
        <is>
          <t>2023-03-31</t>
        </is>
      </c>
      <c r="D59" t="inlineStr">
        <is>
          <t>Kostner Service GmbH</t>
        </is>
      </c>
      <c r="E59" t="inlineStr">
        <is>
          <t>02753540216</t>
        </is>
      </c>
      <c r="F59" t="inlineStr">
        <is>
          <t>KMS OHG des Matzoll Markus &amp; Co.</t>
        </is>
      </c>
      <c r="G59" t="inlineStr">
        <is>
          <t>01541130215</t>
        </is>
      </c>
      <c r="H59" t="inlineStr">
        <is>
          <t>DIESEL</t>
        </is>
      </c>
      <c r="I59" t="inlineStr">
        <is>
          <t>FN 753 YS</t>
        </is>
      </c>
      <c r="J59" t="inlineStr">
        <is>
          <t>LKW</t>
        </is>
      </c>
      <c r="K59" t="n">
        <v>56.77</v>
      </c>
      <c r="L59" s="2" t="n">
        <v>1.52377049</v>
      </c>
      <c r="M59" s="2" t="n">
        <v>85.56999999999999</v>
      </c>
      <c r="N59" s="3" t="n">
        <v>0.22</v>
      </c>
      <c r="O59" s="4">
        <f>HYPERLINK("C:\Users\Dangi\Desktop\Buchhaltung\Beispiele\Unterordner 1\23040612592873_IT02046570426_4fM22.xml.p7m", "23040612592873_IT02046570426_4fM22.xml.p7m")</f>
        <v/>
      </c>
    </row>
    <row r="60">
      <c r="A60" t="inlineStr">
        <is>
          <t>Rechnung</t>
        </is>
      </c>
      <c r="B60" t="inlineStr">
        <is>
          <t>RECH-2023-3900</t>
        </is>
      </c>
      <c r="C60" t="inlineStr">
        <is>
          <t>2023-03-31</t>
        </is>
      </c>
      <c r="D60" t="inlineStr">
        <is>
          <t>Kostner Service GmbH</t>
        </is>
      </c>
      <c r="E60" t="inlineStr">
        <is>
          <t>02753540216</t>
        </is>
      </c>
      <c r="F60" t="inlineStr">
        <is>
          <t>KMS OHG des Matzoll Markus &amp; Co.</t>
        </is>
      </c>
      <c r="G60" t="inlineStr">
        <is>
          <t>01541130215</t>
        </is>
      </c>
      <c r="H60" t="inlineStr">
        <is>
          <t>DIESEL</t>
        </is>
      </c>
      <c r="I60" t="inlineStr">
        <is>
          <t>FC 199 SH</t>
        </is>
      </c>
      <c r="J60" t="inlineStr">
        <is>
          <t>LKW</t>
        </is>
      </c>
      <c r="K60" t="n">
        <v>51.13</v>
      </c>
      <c r="L60" s="2" t="n">
        <v>1.51557377</v>
      </c>
      <c r="M60" s="2" t="n">
        <v>76.66</v>
      </c>
      <c r="N60" s="3" t="n">
        <v>0.22</v>
      </c>
      <c r="O60" s="4">
        <f>HYPERLINK("C:\Users\Dangi\Desktop\Buchhaltung\Beispiele\Unterordner 1\23040612592873_IT02046570426_4fM22.xml.p7m", "23040612592873_IT02046570426_4fM22.xml.p7m")</f>
        <v/>
      </c>
    </row>
    <row r="61">
      <c r="A61" t="inlineStr">
        <is>
          <t>Rechnung</t>
        </is>
      </c>
      <c r="B61" t="inlineStr">
        <is>
          <t>RECH-2023-3900</t>
        </is>
      </c>
      <c r="C61" t="inlineStr">
        <is>
          <t>2023-03-31</t>
        </is>
      </c>
      <c r="D61" t="inlineStr">
        <is>
          <t>Kostner Service GmbH</t>
        </is>
      </c>
      <c r="E61" t="inlineStr">
        <is>
          <t>02753540216</t>
        </is>
      </c>
      <c r="F61" t="inlineStr">
        <is>
          <t>KMS OHG des Matzoll Markus &amp; Co.</t>
        </is>
      </c>
      <c r="G61" t="inlineStr">
        <is>
          <t>01541130215</t>
        </is>
      </c>
      <c r="H61" t="inlineStr">
        <is>
          <t>DIESEL</t>
        </is>
      </c>
      <c r="I61" t="inlineStr">
        <is>
          <t>EX 360 JZ</t>
        </is>
      </c>
      <c r="J61" t="inlineStr">
        <is>
          <t>LKW</t>
        </is>
      </c>
      <c r="K61" t="n">
        <v>37.37</v>
      </c>
      <c r="L61" s="2" t="n">
        <v>1.5647541</v>
      </c>
      <c r="M61" s="2" t="n">
        <v>57.86</v>
      </c>
      <c r="N61" s="3" t="n">
        <v>0.22</v>
      </c>
      <c r="O61" s="4">
        <f>HYPERLINK("C:\Users\Dangi\Desktop\Buchhaltung\Beispiele\Unterordner 1\23040612592873_IT02046570426_4fM22.xml.p7m", "23040612592873_IT02046570426_4fM22.xml.p7m")</f>
        <v/>
      </c>
    </row>
    <row r="62">
      <c r="A62" t="inlineStr">
        <is>
          <t>Rechnung</t>
        </is>
      </c>
      <c r="B62" t="inlineStr">
        <is>
          <t>RECH-2023-3900</t>
        </is>
      </c>
      <c r="C62" t="inlineStr">
        <is>
          <t>2023-03-31</t>
        </is>
      </c>
      <c r="D62" t="inlineStr">
        <is>
          <t>Kostner Service GmbH</t>
        </is>
      </c>
      <c r="E62" t="inlineStr">
        <is>
          <t>02753540216</t>
        </is>
      </c>
      <c r="F62" t="inlineStr">
        <is>
          <t>KMS OHG des Matzoll Markus &amp; Co.</t>
        </is>
      </c>
      <c r="G62" t="inlineStr">
        <is>
          <t>01541130215</t>
        </is>
      </c>
      <c r="H62" t="inlineStr">
        <is>
          <t>DIESEL</t>
        </is>
      </c>
      <c r="I62" t="inlineStr">
        <is>
          <t>EX 360 JZ</t>
        </is>
      </c>
      <c r="J62" t="inlineStr">
        <is>
          <t>LKW</t>
        </is>
      </c>
      <c r="K62" t="n">
        <v>34.86</v>
      </c>
      <c r="L62" s="2" t="n">
        <v>1.5237705</v>
      </c>
      <c r="M62" s="2" t="n">
        <v>52.55</v>
      </c>
      <c r="N62" s="3" t="n">
        <v>0.22</v>
      </c>
      <c r="O62" s="4">
        <f>HYPERLINK("C:\Users\Dangi\Desktop\Buchhaltung\Beispiele\Unterordner 1\23040612592873_IT02046570426_4fM22.xml.p7m", "23040612592873_IT02046570426_4fM22.xml.p7m")</f>
        <v/>
      </c>
    </row>
    <row r="63">
      <c r="A63" t="inlineStr">
        <is>
          <t>Rechnung</t>
        </is>
      </c>
      <c r="B63" t="inlineStr">
        <is>
          <t>RECH-2023-3900</t>
        </is>
      </c>
      <c r="C63" t="inlineStr">
        <is>
          <t>2023-03-31</t>
        </is>
      </c>
      <c r="D63" t="inlineStr">
        <is>
          <t>Kostner Service GmbH</t>
        </is>
      </c>
      <c r="E63" t="inlineStr">
        <is>
          <t>02753540216</t>
        </is>
      </c>
      <c r="F63" t="inlineStr">
        <is>
          <t>KMS OHG des Matzoll Markus &amp; Co.</t>
        </is>
      </c>
      <c r="G63" t="inlineStr">
        <is>
          <t>01541130215</t>
        </is>
      </c>
      <c r="H63" t="inlineStr">
        <is>
          <t>DIESEL</t>
        </is>
      </c>
      <c r="I63" t="inlineStr">
        <is>
          <t>FY 669 VW</t>
        </is>
      </c>
      <c r="J63" t="inlineStr">
        <is>
          <t>LKW</t>
        </is>
      </c>
      <c r="K63" t="n">
        <v>34.64</v>
      </c>
      <c r="L63" s="2" t="n">
        <v>1.55655738</v>
      </c>
      <c r="M63" s="2" t="n">
        <v>53.35</v>
      </c>
      <c r="N63" s="3" t="n">
        <v>0.22</v>
      </c>
      <c r="O63" s="4">
        <f>HYPERLINK("C:\Users\Dangi\Desktop\Buchhaltung\Beispiele\Unterordner 1\23040612592873_IT02046570426_4fM22.xml.p7m", "23040612592873_IT02046570426_4fM22.xml.p7m")</f>
        <v/>
      </c>
    </row>
    <row r="64">
      <c r="A64" t="inlineStr">
        <is>
          <t>Rechnung</t>
        </is>
      </c>
      <c r="B64" t="inlineStr">
        <is>
          <t>RECH-2023-3900</t>
        </is>
      </c>
      <c r="C64" t="inlineStr">
        <is>
          <t>2023-03-31</t>
        </is>
      </c>
      <c r="D64" t="inlineStr">
        <is>
          <t>Kostner Service GmbH</t>
        </is>
      </c>
      <c r="E64" t="inlineStr">
        <is>
          <t>02753540216</t>
        </is>
      </c>
      <c r="F64" t="inlineStr">
        <is>
          <t>KMS OHG des Matzoll Markus &amp; Co.</t>
        </is>
      </c>
      <c r="G64" t="inlineStr">
        <is>
          <t>01541130215</t>
        </is>
      </c>
      <c r="H64" t="inlineStr">
        <is>
          <t>DIESEL</t>
        </is>
      </c>
      <c r="I64" t="inlineStr">
        <is>
          <t>FY 669 VW</t>
        </is>
      </c>
      <c r="J64" t="inlineStr">
        <is>
          <t>LKW</t>
        </is>
      </c>
      <c r="K64" t="n">
        <v>34.76</v>
      </c>
      <c r="L64" s="2" t="n">
        <v>1.50737705</v>
      </c>
      <c r="M64" s="2" t="n">
        <v>51.83</v>
      </c>
      <c r="N64" s="3" t="n">
        <v>0.22</v>
      </c>
      <c r="O64" s="4">
        <f>HYPERLINK("C:\Users\Dangi\Desktop\Buchhaltung\Beispiele\Unterordner 1\23040612592873_IT02046570426_4fM22.xml.p7m", "23040612592873_IT02046570426_4fM22.xml.p7m")</f>
        <v/>
      </c>
    </row>
    <row r="65">
      <c r="A65" t="inlineStr">
        <is>
          <t>Rechnung</t>
        </is>
      </c>
      <c r="B65" t="inlineStr">
        <is>
          <t>RECH-2023-5717</t>
        </is>
      </c>
      <c r="C65" t="inlineStr">
        <is>
          <t>2023-04-30</t>
        </is>
      </c>
      <c r="D65" t="inlineStr">
        <is>
          <t>Kostner Service GmbH</t>
        </is>
      </c>
      <c r="E65" t="inlineStr">
        <is>
          <t>02753540216</t>
        </is>
      </c>
      <c r="F65" t="inlineStr">
        <is>
          <t>KMS OHG des Matzoll Markus &amp; Co.</t>
        </is>
      </c>
      <c r="G65" t="inlineStr">
        <is>
          <t>01541130215</t>
        </is>
      </c>
      <c r="H65" t="inlineStr">
        <is>
          <t>DIESEL</t>
        </is>
      </c>
      <c r="I65" t="inlineStr">
        <is>
          <t>FL 700 BA</t>
        </is>
      </c>
      <c r="J65" t="inlineStr">
        <is>
          <t>PKW</t>
        </is>
      </c>
      <c r="K65" t="n">
        <v>37</v>
      </c>
      <c r="L65" s="2" t="n">
        <v>1.4909836</v>
      </c>
      <c r="M65" s="2" t="n">
        <v>54.56</v>
      </c>
      <c r="N65" s="3" t="n">
        <v>0.22</v>
      </c>
      <c r="O65" s="4">
        <f>HYPERLINK("C:\Users\Dangi\Desktop\Buchhaltung\Beispiele\Unterordner 1\23050417412973_IT02046570426_4vHgk.xml.p7m", "23050417412973_IT02046570426_4vHgk.xml.p7m")</f>
        <v/>
      </c>
    </row>
    <row r="66">
      <c r="A66" t="inlineStr">
        <is>
          <t>Rechnung</t>
        </is>
      </c>
      <c r="B66" t="inlineStr">
        <is>
          <t>RECH-2023-5717</t>
        </is>
      </c>
      <c r="C66" t="inlineStr">
        <is>
          <t>2023-04-30</t>
        </is>
      </c>
      <c r="D66" t="inlineStr">
        <is>
          <t>Kostner Service GmbH</t>
        </is>
      </c>
      <c r="E66" t="inlineStr">
        <is>
          <t>02753540216</t>
        </is>
      </c>
      <c r="F66" t="inlineStr">
        <is>
          <t>KMS OHG des Matzoll Markus &amp; Co.</t>
        </is>
      </c>
      <c r="G66" t="inlineStr">
        <is>
          <t>01541130215</t>
        </is>
      </c>
      <c r="H66" t="inlineStr">
        <is>
          <t>DIESEL</t>
        </is>
      </c>
      <c r="I66" t="inlineStr">
        <is>
          <t>FF 980 YV</t>
        </is>
      </c>
      <c r="J66" t="inlineStr">
        <is>
          <t>LKW</t>
        </is>
      </c>
      <c r="K66" t="n">
        <v>200.06</v>
      </c>
      <c r="L66" s="2" t="n">
        <v>1.49098361</v>
      </c>
      <c r="M66" s="2" t="n">
        <v>295.01</v>
      </c>
      <c r="N66" s="3" t="n">
        <v>0.22</v>
      </c>
      <c r="O66" s="4">
        <f>HYPERLINK("C:\Users\Dangi\Desktop\Buchhaltung\Beispiele\Unterordner 1\23050417412973_IT02046570426_4vHgk.xml.p7m", "23050417412973_IT02046570426_4vHgk.xml.p7m")</f>
        <v/>
      </c>
    </row>
    <row r="67">
      <c r="A67" t="inlineStr">
        <is>
          <t>Rechnung</t>
        </is>
      </c>
      <c r="B67" t="inlineStr">
        <is>
          <t>RECH-2023-5717</t>
        </is>
      </c>
      <c r="C67" t="inlineStr">
        <is>
          <t>2023-04-30</t>
        </is>
      </c>
      <c r="D67" t="inlineStr">
        <is>
          <t>Kostner Service GmbH</t>
        </is>
      </c>
      <c r="E67" t="inlineStr">
        <is>
          <t>02753540216</t>
        </is>
      </c>
      <c r="F67" t="inlineStr">
        <is>
          <t>KMS OHG des Matzoll Markus &amp; Co.</t>
        </is>
      </c>
      <c r="G67" t="inlineStr">
        <is>
          <t>01541130215</t>
        </is>
      </c>
      <c r="H67" t="inlineStr">
        <is>
          <t>DIESEL</t>
        </is>
      </c>
      <c r="I67" t="inlineStr">
        <is>
          <t>FF 980 YV</t>
        </is>
      </c>
      <c r="J67" t="inlineStr">
        <is>
          <t>LKW</t>
        </is>
      </c>
      <c r="K67" t="n">
        <v>206.72</v>
      </c>
      <c r="L67" s="2" t="n">
        <v>1.49098361</v>
      </c>
      <c r="M67" s="2" t="n">
        <v>304.83</v>
      </c>
      <c r="N67" s="3" t="n">
        <v>0.22</v>
      </c>
      <c r="O67" s="4">
        <f>HYPERLINK("C:\Users\Dangi\Desktop\Buchhaltung\Beispiele\Unterordner 1\23050417412973_IT02046570426_4vHgk.xml.p7m", "23050417412973_IT02046570426_4vHgk.xml.p7m")</f>
        <v/>
      </c>
    </row>
    <row r="68">
      <c r="A68" t="inlineStr">
        <is>
          <t>Rechnung</t>
        </is>
      </c>
      <c r="B68" t="inlineStr">
        <is>
          <t>RECH-2023-5717</t>
        </is>
      </c>
      <c r="C68" t="inlineStr">
        <is>
          <t>2023-04-30</t>
        </is>
      </c>
      <c r="D68" t="inlineStr">
        <is>
          <t>Kostner Service GmbH</t>
        </is>
      </c>
      <c r="E68" t="inlineStr">
        <is>
          <t>02753540216</t>
        </is>
      </c>
      <c r="F68" t="inlineStr">
        <is>
          <t>KMS OHG des Matzoll Markus &amp; Co.</t>
        </is>
      </c>
      <c r="G68" t="inlineStr">
        <is>
          <t>01541130215</t>
        </is>
      </c>
      <c r="H68" t="inlineStr">
        <is>
          <t>DIESEL</t>
        </is>
      </c>
      <c r="I68" t="inlineStr">
        <is>
          <t>FF 980 YV</t>
        </is>
      </c>
      <c r="J68" t="inlineStr">
        <is>
          <t>LKW</t>
        </is>
      </c>
      <c r="K68" t="n">
        <v>245.02</v>
      </c>
      <c r="L68" s="2" t="n">
        <v>1.4909836</v>
      </c>
      <c r="M68" s="2" t="n">
        <v>361.3</v>
      </c>
      <c r="N68" s="3" t="n">
        <v>0.22</v>
      </c>
      <c r="O68" s="4">
        <f>HYPERLINK("C:\Users\Dangi\Desktop\Buchhaltung\Beispiele\Unterordner 1\23050417412973_IT02046570426_4vHgk.xml.p7m", "23050417412973_IT02046570426_4vHgk.xml.p7m")</f>
        <v/>
      </c>
    </row>
    <row r="69">
      <c r="A69" t="inlineStr">
        <is>
          <t>Rechnung</t>
        </is>
      </c>
      <c r="B69" t="inlineStr">
        <is>
          <t>RECH-2023-5717</t>
        </is>
      </c>
      <c r="C69" t="inlineStr">
        <is>
          <t>2023-04-30</t>
        </is>
      </c>
      <c r="D69" t="inlineStr">
        <is>
          <t>Kostner Service GmbH</t>
        </is>
      </c>
      <c r="E69" t="inlineStr">
        <is>
          <t>02753540216</t>
        </is>
      </c>
      <c r="F69" t="inlineStr">
        <is>
          <t>KMS OHG des Matzoll Markus &amp; Co.</t>
        </is>
      </c>
      <c r="G69" t="inlineStr">
        <is>
          <t>01541130215</t>
        </is>
      </c>
      <c r="H69" t="inlineStr">
        <is>
          <t>DIESEL</t>
        </is>
      </c>
      <c r="I69" t="inlineStr">
        <is>
          <t>FF 980 YV</t>
        </is>
      </c>
      <c r="J69" t="inlineStr">
        <is>
          <t>LKW</t>
        </is>
      </c>
      <c r="K69" t="n">
        <v>193.25</v>
      </c>
      <c r="L69" s="2" t="n">
        <v>1.44180328</v>
      </c>
      <c r="M69" s="2" t="n">
        <v>275.46</v>
      </c>
      <c r="N69" s="3" t="n">
        <v>0.22</v>
      </c>
      <c r="O69" s="4">
        <f>HYPERLINK("C:\Users\Dangi\Desktop\Buchhaltung\Beispiele\Unterordner 1\23050417412973_IT02046570426_4vHgk.xml.p7m", "23050417412973_IT02046570426_4vHgk.xml.p7m")</f>
        <v/>
      </c>
    </row>
    <row r="70">
      <c r="A70" t="inlineStr">
        <is>
          <t>Rechnung</t>
        </is>
      </c>
      <c r="B70" t="inlineStr">
        <is>
          <t>RECH-2023-5717</t>
        </is>
      </c>
      <c r="C70" t="inlineStr">
        <is>
          <t>2023-04-30</t>
        </is>
      </c>
      <c r="D70" t="inlineStr">
        <is>
          <t>Kostner Service GmbH</t>
        </is>
      </c>
      <c r="E70" t="inlineStr">
        <is>
          <t>02753540216</t>
        </is>
      </c>
      <c r="F70" t="inlineStr">
        <is>
          <t>KMS OHG des Matzoll Markus &amp; Co.</t>
        </is>
      </c>
      <c r="G70" t="inlineStr">
        <is>
          <t>01541130215</t>
        </is>
      </c>
      <c r="H70" t="inlineStr">
        <is>
          <t>DIESEL</t>
        </is>
      </c>
      <c r="I70" t="inlineStr">
        <is>
          <t>BZ 529 AA</t>
        </is>
      </c>
      <c r="J70" t="inlineStr">
        <is>
          <t>LKW</t>
        </is>
      </c>
      <c r="K70" t="n">
        <v>170.01</v>
      </c>
      <c r="L70" s="2" t="n">
        <v>1.49098361</v>
      </c>
      <c r="M70" s="2" t="n">
        <v>250.7</v>
      </c>
      <c r="N70" s="3" t="n">
        <v>0.22</v>
      </c>
      <c r="O70" s="4">
        <f>HYPERLINK("C:\Users\Dangi\Desktop\Buchhaltung\Beispiele\Unterordner 1\23050417412973_IT02046570426_4vHgk.xml.p7m", "23050417412973_IT02046570426_4vHgk.xml.p7m")</f>
        <v/>
      </c>
    </row>
    <row r="71">
      <c r="A71" t="inlineStr">
        <is>
          <t>Rechnung</t>
        </is>
      </c>
      <c r="B71" t="inlineStr">
        <is>
          <t>RECH-2023-5717</t>
        </is>
      </c>
      <c r="C71" t="inlineStr">
        <is>
          <t>2023-04-30</t>
        </is>
      </c>
      <c r="D71" t="inlineStr">
        <is>
          <t>Kostner Service GmbH</t>
        </is>
      </c>
      <c r="E71" t="inlineStr">
        <is>
          <t>02753540216</t>
        </is>
      </c>
      <c r="F71" t="inlineStr">
        <is>
          <t>KMS OHG des Matzoll Markus &amp; Co.</t>
        </is>
      </c>
      <c r="G71" t="inlineStr">
        <is>
          <t>01541130215</t>
        </is>
      </c>
      <c r="H71" t="inlineStr">
        <is>
          <t>DIESEL</t>
        </is>
      </c>
      <c r="I71" t="inlineStr">
        <is>
          <t>BZ 529 AA</t>
        </is>
      </c>
      <c r="J71" t="inlineStr">
        <is>
          <t>LKW</t>
        </is>
      </c>
      <c r="K71" t="n">
        <v>153.94</v>
      </c>
      <c r="L71" s="2" t="n">
        <v>1.4909836</v>
      </c>
      <c r="M71" s="2" t="n">
        <v>227</v>
      </c>
      <c r="N71" s="3" t="n">
        <v>0.22</v>
      </c>
      <c r="O71" s="4">
        <f>HYPERLINK("C:\Users\Dangi\Desktop\Buchhaltung\Beispiele\Unterordner 1\23050417412973_IT02046570426_4vHgk.xml.p7m", "23050417412973_IT02046570426_4vHgk.xml.p7m")</f>
        <v/>
      </c>
    </row>
    <row r="72">
      <c r="A72" t="inlineStr">
        <is>
          <t>Rechnung</t>
        </is>
      </c>
      <c r="B72" t="inlineStr">
        <is>
          <t>RECH-2023-5717</t>
        </is>
      </c>
      <c r="C72" t="inlineStr">
        <is>
          <t>2023-04-30</t>
        </is>
      </c>
      <c r="D72" t="inlineStr">
        <is>
          <t>Kostner Service GmbH</t>
        </is>
      </c>
      <c r="E72" t="inlineStr">
        <is>
          <t>02753540216</t>
        </is>
      </c>
      <c r="F72" t="inlineStr">
        <is>
          <t>KMS OHG des Matzoll Markus &amp; Co.</t>
        </is>
      </c>
      <c r="G72" t="inlineStr">
        <is>
          <t>01541130215</t>
        </is>
      </c>
      <c r="H72" t="inlineStr">
        <is>
          <t>DIESEL</t>
        </is>
      </c>
      <c r="I72" t="inlineStr">
        <is>
          <t>BZ 529 AA</t>
        </is>
      </c>
      <c r="J72" t="inlineStr">
        <is>
          <t>LKW</t>
        </is>
      </c>
      <c r="K72" t="n">
        <v>167.7</v>
      </c>
      <c r="L72" s="2" t="n">
        <v>1.49098361</v>
      </c>
      <c r="M72" s="2" t="n">
        <v>247.29</v>
      </c>
      <c r="N72" s="3" t="n">
        <v>0.22</v>
      </c>
      <c r="O72" s="4">
        <f>HYPERLINK("C:\Users\Dangi\Desktop\Buchhaltung\Beispiele\Unterordner 1\23050417412973_IT02046570426_4vHgk.xml.p7m", "23050417412973_IT02046570426_4vHgk.xml.p7m")</f>
        <v/>
      </c>
    </row>
    <row r="73">
      <c r="A73" t="inlineStr">
        <is>
          <t>Rechnung</t>
        </is>
      </c>
      <c r="B73" t="inlineStr">
        <is>
          <t>RECH-2023-5717</t>
        </is>
      </c>
      <c r="C73" t="inlineStr">
        <is>
          <t>2023-04-30</t>
        </is>
      </c>
      <c r="D73" t="inlineStr">
        <is>
          <t>Kostner Service GmbH</t>
        </is>
      </c>
      <c r="E73" t="inlineStr">
        <is>
          <t>02753540216</t>
        </is>
      </c>
      <c r="F73" t="inlineStr">
        <is>
          <t>KMS OHG des Matzoll Markus &amp; Co.</t>
        </is>
      </c>
      <c r="G73" t="inlineStr">
        <is>
          <t>01541130215</t>
        </is>
      </c>
      <c r="H73" t="inlineStr">
        <is>
          <t>DIESEL</t>
        </is>
      </c>
      <c r="I73" t="inlineStr">
        <is>
          <t>BZ 529 AA</t>
        </is>
      </c>
      <c r="J73" t="inlineStr">
        <is>
          <t>LKW</t>
        </is>
      </c>
      <c r="K73" t="n">
        <v>144.75</v>
      </c>
      <c r="L73" s="2" t="n">
        <v>1.44180328</v>
      </c>
      <c r="M73" s="2" t="n">
        <v>206.33</v>
      </c>
      <c r="N73" s="3" t="n">
        <v>0.22</v>
      </c>
      <c r="O73" s="4">
        <f>HYPERLINK("C:\Users\Dangi\Desktop\Buchhaltung\Beispiele\Unterordner 1\23050417412973_IT02046570426_4vHgk.xml.p7m", "23050417412973_IT02046570426_4vHgk.xml.p7m")</f>
        <v/>
      </c>
    </row>
    <row r="74">
      <c r="A74" t="inlineStr">
        <is>
          <t>Rechnung</t>
        </is>
      </c>
      <c r="B74" t="inlineStr">
        <is>
          <t>RECH-2023-5717</t>
        </is>
      </c>
      <c r="C74" t="inlineStr">
        <is>
          <t>2023-04-30</t>
        </is>
      </c>
      <c r="D74" t="inlineStr">
        <is>
          <t>Kostner Service GmbH</t>
        </is>
      </c>
      <c r="E74" t="inlineStr">
        <is>
          <t>02753540216</t>
        </is>
      </c>
      <c r="F74" t="inlineStr">
        <is>
          <t>KMS OHG des Matzoll Markus &amp; Co.</t>
        </is>
      </c>
      <c r="G74" t="inlineStr">
        <is>
          <t>01541130215</t>
        </is>
      </c>
      <c r="H74" t="inlineStr">
        <is>
          <t>DIESEL</t>
        </is>
      </c>
      <c r="I74" t="inlineStr">
        <is>
          <t>BZ 529 AA</t>
        </is>
      </c>
      <c r="J74" t="inlineStr">
        <is>
          <t>LKW</t>
        </is>
      </c>
      <c r="K74" t="n">
        <v>175.5</v>
      </c>
      <c r="L74" s="2" t="n">
        <v>1.44180328</v>
      </c>
      <c r="M74" s="2" t="n">
        <v>250.16</v>
      </c>
      <c r="N74" s="3" t="n">
        <v>0.22</v>
      </c>
      <c r="O74" s="4">
        <f>HYPERLINK("C:\Users\Dangi\Desktop\Buchhaltung\Beispiele\Unterordner 1\23050417412973_IT02046570426_4vHgk.xml.p7m", "23050417412973_IT02046570426_4vHgk.xml.p7m")</f>
        <v/>
      </c>
    </row>
    <row r="75">
      <c r="A75" t="inlineStr">
        <is>
          <t>Rechnung</t>
        </is>
      </c>
      <c r="B75" t="inlineStr">
        <is>
          <t>RECH-2023-5717</t>
        </is>
      </c>
      <c r="C75" t="inlineStr">
        <is>
          <t>2023-04-30</t>
        </is>
      </c>
      <c r="D75" t="inlineStr">
        <is>
          <t>Kostner Service GmbH</t>
        </is>
      </c>
      <c r="E75" t="inlineStr">
        <is>
          <t>02753540216</t>
        </is>
      </c>
      <c r="F75" t="inlineStr">
        <is>
          <t>KMS OHG des Matzoll Markus &amp; Co.</t>
        </is>
      </c>
      <c r="G75" t="inlineStr">
        <is>
          <t>01541130215</t>
        </is>
      </c>
      <c r="H75" t="inlineStr">
        <is>
          <t>DIESEL</t>
        </is>
      </c>
      <c r="I75" t="inlineStr">
        <is>
          <t>DY 410 JB</t>
        </is>
      </c>
      <c r="J75" t="inlineStr">
        <is>
          <t>LKW</t>
        </is>
      </c>
      <c r="K75" t="n">
        <v>180.36</v>
      </c>
      <c r="L75" s="2" t="n">
        <v>1.4909836</v>
      </c>
      <c r="M75" s="2" t="n">
        <v>265.96</v>
      </c>
      <c r="N75" s="3" t="n">
        <v>0.22</v>
      </c>
      <c r="O75" s="4">
        <f>HYPERLINK("C:\Users\Dangi\Desktop\Buchhaltung\Beispiele\Unterordner 1\23050417412973_IT02046570426_4vHgk.xml.p7m", "23050417412973_IT02046570426_4vHgk.xml.p7m")</f>
        <v/>
      </c>
    </row>
    <row r="76">
      <c r="A76" t="inlineStr">
        <is>
          <t>Rechnung</t>
        </is>
      </c>
      <c r="B76" t="inlineStr">
        <is>
          <t>RECH-2023-5717</t>
        </is>
      </c>
      <c r="C76" t="inlineStr">
        <is>
          <t>2023-04-30</t>
        </is>
      </c>
      <c r="D76" t="inlineStr">
        <is>
          <t>Kostner Service GmbH</t>
        </is>
      </c>
      <c r="E76" t="inlineStr">
        <is>
          <t>02753540216</t>
        </is>
      </c>
      <c r="F76" t="inlineStr">
        <is>
          <t>KMS OHG des Matzoll Markus &amp; Co.</t>
        </is>
      </c>
      <c r="G76" t="inlineStr">
        <is>
          <t>01541130215</t>
        </is>
      </c>
      <c r="H76" t="inlineStr">
        <is>
          <t>DIESEL</t>
        </is>
      </c>
      <c r="I76" t="inlineStr">
        <is>
          <t>DY 410 JB</t>
        </is>
      </c>
      <c r="J76" t="inlineStr">
        <is>
          <t>LKW</t>
        </is>
      </c>
      <c r="K76" t="n">
        <v>177.73</v>
      </c>
      <c r="L76" s="2" t="n">
        <v>1.49098361</v>
      </c>
      <c r="M76" s="2" t="n">
        <v>262.08</v>
      </c>
      <c r="N76" s="3" t="n">
        <v>0.22</v>
      </c>
      <c r="O76" s="4">
        <f>HYPERLINK("C:\Users\Dangi\Desktop\Buchhaltung\Beispiele\Unterordner 1\23050417412973_IT02046570426_4vHgk.xml.p7m", "23050417412973_IT02046570426_4vHgk.xml.p7m")</f>
        <v/>
      </c>
    </row>
    <row r="77">
      <c r="A77" t="inlineStr">
        <is>
          <t>Rechnung</t>
        </is>
      </c>
      <c r="B77" t="inlineStr">
        <is>
          <t>RECH-2023-5717</t>
        </is>
      </c>
      <c r="C77" t="inlineStr">
        <is>
          <t>2023-04-30</t>
        </is>
      </c>
      <c r="D77" t="inlineStr">
        <is>
          <t>Kostner Service GmbH</t>
        </is>
      </c>
      <c r="E77" t="inlineStr">
        <is>
          <t>02753540216</t>
        </is>
      </c>
      <c r="F77" t="inlineStr">
        <is>
          <t>KMS OHG des Matzoll Markus &amp; Co.</t>
        </is>
      </c>
      <c r="G77" t="inlineStr">
        <is>
          <t>01541130215</t>
        </is>
      </c>
      <c r="H77" t="inlineStr">
        <is>
          <t>DIESEL</t>
        </is>
      </c>
      <c r="I77" t="inlineStr">
        <is>
          <t>DY 410 JB</t>
        </is>
      </c>
      <c r="J77" t="inlineStr">
        <is>
          <t>LKW</t>
        </is>
      </c>
      <c r="K77" t="n">
        <v>189.67</v>
      </c>
      <c r="L77" s="2" t="n">
        <v>1.4909836</v>
      </c>
      <c r="M77" s="2" t="n">
        <v>279.69</v>
      </c>
      <c r="N77" s="3" t="n">
        <v>0.22</v>
      </c>
      <c r="O77" s="4">
        <f>HYPERLINK("C:\Users\Dangi\Desktop\Buchhaltung\Beispiele\Unterordner 1\23050417412973_IT02046570426_4vHgk.xml.p7m", "23050417412973_IT02046570426_4vHgk.xml.p7m")</f>
        <v/>
      </c>
    </row>
    <row r="78">
      <c r="A78" t="inlineStr">
        <is>
          <t>Rechnung</t>
        </is>
      </c>
      <c r="B78" t="inlineStr">
        <is>
          <t>RECH-2023-5717</t>
        </is>
      </c>
      <c r="C78" t="inlineStr">
        <is>
          <t>2023-04-30</t>
        </is>
      </c>
      <c r="D78" t="inlineStr">
        <is>
          <t>Kostner Service GmbH</t>
        </is>
      </c>
      <c r="E78" t="inlineStr">
        <is>
          <t>02753540216</t>
        </is>
      </c>
      <c r="F78" t="inlineStr">
        <is>
          <t>KMS OHG des Matzoll Markus &amp; Co.</t>
        </is>
      </c>
      <c r="G78" t="inlineStr">
        <is>
          <t>01541130215</t>
        </is>
      </c>
      <c r="H78" t="inlineStr">
        <is>
          <t>DIESEL</t>
        </is>
      </c>
      <c r="I78" t="inlineStr">
        <is>
          <t>DY 410 JB</t>
        </is>
      </c>
      <c r="J78" t="inlineStr">
        <is>
          <t>LKW</t>
        </is>
      </c>
      <c r="K78" t="n">
        <v>170.71</v>
      </c>
      <c r="L78" s="2" t="n">
        <v>1.49098361</v>
      </c>
      <c r="M78" s="2" t="n">
        <v>251.73</v>
      </c>
      <c r="N78" s="3" t="n">
        <v>0.22</v>
      </c>
      <c r="O78" s="4">
        <f>HYPERLINK("C:\Users\Dangi\Desktop\Buchhaltung\Beispiele\Unterordner 1\23050417412973_IT02046570426_4vHgk.xml.p7m", "23050417412973_IT02046570426_4vHgk.xml.p7m")</f>
        <v/>
      </c>
    </row>
    <row r="79">
      <c r="A79" t="inlineStr">
        <is>
          <t>Rechnung</t>
        </is>
      </c>
      <c r="B79" t="inlineStr">
        <is>
          <t>RECH-2023-5717</t>
        </is>
      </c>
      <c r="C79" t="inlineStr">
        <is>
          <t>2023-04-30</t>
        </is>
      </c>
      <c r="D79" t="inlineStr">
        <is>
          <t>Kostner Service GmbH</t>
        </is>
      </c>
      <c r="E79" t="inlineStr">
        <is>
          <t>02753540216</t>
        </is>
      </c>
      <c r="F79" t="inlineStr">
        <is>
          <t>KMS OHG des Matzoll Markus &amp; Co.</t>
        </is>
      </c>
      <c r="G79" t="inlineStr">
        <is>
          <t>01541130215</t>
        </is>
      </c>
      <c r="H79" t="inlineStr">
        <is>
          <t>DIESEL</t>
        </is>
      </c>
      <c r="I79" t="inlineStr">
        <is>
          <t>DY 410 JB</t>
        </is>
      </c>
      <c r="J79" t="inlineStr">
        <is>
          <t>LKW</t>
        </is>
      </c>
      <c r="K79" t="n">
        <v>165.65</v>
      </c>
      <c r="L79" s="2" t="n">
        <v>1.47459016</v>
      </c>
      <c r="M79" s="2" t="n">
        <v>241.55</v>
      </c>
      <c r="N79" s="3" t="n">
        <v>0.22</v>
      </c>
      <c r="O79" s="4">
        <f>HYPERLINK("C:\Users\Dangi\Desktop\Buchhaltung\Beispiele\Unterordner 1\23050417412973_IT02046570426_4vHgk.xml.p7m", "23050417412973_IT02046570426_4vHgk.xml.p7m")</f>
        <v/>
      </c>
    </row>
    <row r="80">
      <c r="A80" t="inlineStr">
        <is>
          <t>Rechnung</t>
        </is>
      </c>
      <c r="B80" t="inlineStr">
        <is>
          <t>RECH-2023-5717</t>
        </is>
      </c>
      <c r="C80" t="inlineStr">
        <is>
          <t>2023-04-30</t>
        </is>
      </c>
      <c r="D80" t="inlineStr">
        <is>
          <t>Kostner Service GmbH</t>
        </is>
      </c>
      <c r="E80" t="inlineStr">
        <is>
          <t>02753540216</t>
        </is>
      </c>
      <c r="F80" t="inlineStr">
        <is>
          <t>KMS OHG des Matzoll Markus &amp; Co.</t>
        </is>
      </c>
      <c r="G80" t="inlineStr">
        <is>
          <t>01541130215</t>
        </is>
      </c>
      <c r="H80" t="inlineStr">
        <is>
          <t>DIESEL</t>
        </is>
      </c>
      <c r="I80" t="inlineStr">
        <is>
          <t>DY 410 JB</t>
        </is>
      </c>
      <c r="J80" t="inlineStr">
        <is>
          <t>LKW</t>
        </is>
      </c>
      <c r="K80" t="n">
        <v>207.01</v>
      </c>
      <c r="L80" s="2" t="n">
        <v>1.44180328</v>
      </c>
      <c r="M80" s="2" t="n">
        <v>295.07</v>
      </c>
      <c r="N80" s="3" t="n">
        <v>0.22</v>
      </c>
      <c r="O80" s="4">
        <f>HYPERLINK("C:\Users\Dangi\Desktop\Buchhaltung\Beispiele\Unterordner 1\23050417412973_IT02046570426_4vHgk.xml.p7m", "23050417412973_IT02046570426_4vHgk.xml.p7m")</f>
        <v/>
      </c>
    </row>
    <row r="81">
      <c r="A81" t="inlineStr">
        <is>
          <t>Rechnung</t>
        </is>
      </c>
      <c r="B81" t="inlineStr">
        <is>
          <t>RECH-2023-5717</t>
        </is>
      </c>
      <c r="C81" t="inlineStr">
        <is>
          <t>2023-04-30</t>
        </is>
      </c>
      <c r="D81" t="inlineStr">
        <is>
          <t>Kostner Service GmbH</t>
        </is>
      </c>
      <c r="E81" t="inlineStr">
        <is>
          <t>02753540216</t>
        </is>
      </c>
      <c r="F81" t="inlineStr">
        <is>
          <t>KMS OHG des Matzoll Markus &amp; Co.</t>
        </is>
      </c>
      <c r="G81" t="inlineStr">
        <is>
          <t>01541130215</t>
        </is>
      </c>
      <c r="H81" t="inlineStr">
        <is>
          <t>DIESEL</t>
        </is>
      </c>
      <c r="I81" t="inlineStr">
        <is>
          <t>GE 702 BF</t>
        </is>
      </c>
      <c r="J81" t="inlineStr">
        <is>
          <t>LKW</t>
        </is>
      </c>
      <c r="K81" t="n">
        <v>230</v>
      </c>
      <c r="L81" s="2" t="n">
        <v>1.49098361</v>
      </c>
      <c r="M81" s="2" t="n">
        <v>339.16</v>
      </c>
      <c r="N81" s="3" t="n">
        <v>0.22</v>
      </c>
      <c r="O81" s="4">
        <f>HYPERLINK("C:\Users\Dangi\Desktop\Buchhaltung\Beispiele\Unterordner 1\23050417412973_IT02046570426_4vHgk.xml.p7m", "23050417412973_IT02046570426_4vHgk.xml.p7m")</f>
        <v/>
      </c>
    </row>
    <row r="82">
      <c r="A82" t="inlineStr">
        <is>
          <t>Rechnung</t>
        </is>
      </c>
      <c r="B82" t="inlineStr">
        <is>
          <t>RECH-2023-5717</t>
        </is>
      </c>
      <c r="C82" t="inlineStr">
        <is>
          <t>2023-04-30</t>
        </is>
      </c>
      <c r="D82" t="inlineStr">
        <is>
          <t>Kostner Service GmbH</t>
        </is>
      </c>
      <c r="E82" t="inlineStr">
        <is>
          <t>02753540216</t>
        </is>
      </c>
      <c r="F82" t="inlineStr">
        <is>
          <t>KMS OHG des Matzoll Markus &amp; Co.</t>
        </is>
      </c>
      <c r="G82" t="inlineStr">
        <is>
          <t>01541130215</t>
        </is>
      </c>
      <c r="H82" t="inlineStr">
        <is>
          <t>DIESEL</t>
        </is>
      </c>
      <c r="I82" t="inlineStr">
        <is>
          <t>GE 702 BF</t>
        </is>
      </c>
      <c r="J82" t="inlineStr">
        <is>
          <t>LKW</t>
        </is>
      </c>
      <c r="K82" t="n">
        <v>208.95</v>
      </c>
      <c r="L82" s="2" t="n">
        <v>1.4909836</v>
      </c>
      <c r="M82" s="2" t="n">
        <v>308.11</v>
      </c>
      <c r="N82" s="3" t="n">
        <v>0.22</v>
      </c>
      <c r="O82" s="4">
        <f>HYPERLINK("C:\Users\Dangi\Desktop\Buchhaltung\Beispiele\Unterordner 1\23050417412973_IT02046570426_4vHgk.xml.p7m", "23050417412973_IT02046570426_4vHgk.xml.p7m")</f>
        <v/>
      </c>
    </row>
    <row r="83">
      <c r="A83" t="inlineStr">
        <is>
          <t>Rechnung</t>
        </is>
      </c>
      <c r="B83" t="inlineStr">
        <is>
          <t>RECH-2023-5717</t>
        </is>
      </c>
      <c r="C83" t="inlineStr">
        <is>
          <t>2023-04-30</t>
        </is>
      </c>
      <c r="D83" t="inlineStr">
        <is>
          <t>Kostner Service GmbH</t>
        </is>
      </c>
      <c r="E83" t="inlineStr">
        <is>
          <t>02753540216</t>
        </is>
      </c>
      <c r="F83" t="inlineStr">
        <is>
          <t>KMS OHG des Matzoll Markus &amp; Co.</t>
        </is>
      </c>
      <c r="G83" t="inlineStr">
        <is>
          <t>01541130215</t>
        </is>
      </c>
      <c r="H83" t="inlineStr">
        <is>
          <t>DIESEL</t>
        </is>
      </c>
      <c r="I83" t="inlineStr">
        <is>
          <t>GE 702 BF</t>
        </is>
      </c>
      <c r="J83" t="inlineStr">
        <is>
          <t>LKW</t>
        </is>
      </c>
      <c r="K83" t="n">
        <v>240.55</v>
      </c>
      <c r="L83" s="2" t="n">
        <v>1.49098361</v>
      </c>
      <c r="M83" s="2" t="n">
        <v>354.71</v>
      </c>
      <c r="N83" s="3" t="n">
        <v>0.22</v>
      </c>
      <c r="O83" s="4">
        <f>HYPERLINK("C:\Users\Dangi\Desktop\Buchhaltung\Beispiele\Unterordner 1\23050417412973_IT02046570426_4vHgk.xml.p7m", "23050417412973_IT02046570426_4vHgk.xml.p7m")</f>
        <v/>
      </c>
    </row>
    <row r="84">
      <c r="A84" t="inlineStr">
        <is>
          <t>Rechnung</t>
        </is>
      </c>
      <c r="B84" t="inlineStr">
        <is>
          <t>RECH-2023-5717</t>
        </is>
      </c>
      <c r="C84" t="inlineStr">
        <is>
          <t>2023-04-30</t>
        </is>
      </c>
      <c r="D84" t="inlineStr">
        <is>
          <t>Kostner Service GmbH</t>
        </is>
      </c>
      <c r="E84" t="inlineStr">
        <is>
          <t>02753540216</t>
        </is>
      </c>
      <c r="F84" t="inlineStr">
        <is>
          <t>KMS OHG des Matzoll Markus &amp; Co.</t>
        </is>
      </c>
      <c r="G84" t="inlineStr">
        <is>
          <t>01541130215</t>
        </is>
      </c>
      <c r="H84" t="inlineStr">
        <is>
          <t>DIESEL</t>
        </is>
      </c>
      <c r="I84" t="inlineStr">
        <is>
          <t>GE 702 BF</t>
        </is>
      </c>
      <c r="J84" t="inlineStr">
        <is>
          <t>LKW</t>
        </is>
      </c>
      <c r="K84" t="n">
        <v>153.09</v>
      </c>
      <c r="L84" s="2" t="n">
        <v>1.47459017</v>
      </c>
      <c r="M84" s="2" t="n">
        <v>223.24</v>
      </c>
      <c r="N84" s="3" t="n">
        <v>0.22</v>
      </c>
      <c r="O84" s="4">
        <f>HYPERLINK("C:\Users\Dangi\Desktop\Buchhaltung\Beispiele\Unterordner 1\23050417412973_IT02046570426_4vHgk.xml.p7m", "23050417412973_IT02046570426_4vHgk.xml.p7m")</f>
        <v/>
      </c>
    </row>
    <row r="85">
      <c r="A85" t="inlineStr">
        <is>
          <t>Rechnung</t>
        </is>
      </c>
      <c r="B85" t="inlineStr">
        <is>
          <t>RECH-2023-5717</t>
        </is>
      </c>
      <c r="C85" t="inlineStr">
        <is>
          <t>2023-04-30</t>
        </is>
      </c>
      <c r="D85" t="inlineStr">
        <is>
          <t>Kostner Service GmbH</t>
        </is>
      </c>
      <c r="E85" t="inlineStr">
        <is>
          <t>02753540216</t>
        </is>
      </c>
      <c r="F85" t="inlineStr">
        <is>
          <t>KMS OHG des Matzoll Markus &amp; Co.</t>
        </is>
      </c>
      <c r="G85" t="inlineStr">
        <is>
          <t>01541130215</t>
        </is>
      </c>
      <c r="H85" t="inlineStr">
        <is>
          <t>DIESEL</t>
        </is>
      </c>
      <c r="I85" t="inlineStr">
        <is>
          <t>GE 702 BF</t>
        </is>
      </c>
      <c r="J85" t="inlineStr">
        <is>
          <t>LKW</t>
        </is>
      </c>
      <c r="K85" t="n">
        <v>249.13</v>
      </c>
      <c r="L85" s="2" t="n">
        <v>1.44180328</v>
      </c>
      <c r="M85" s="2" t="n">
        <v>355.11</v>
      </c>
      <c r="N85" s="3" t="n">
        <v>0.22</v>
      </c>
      <c r="O85" s="4">
        <f>HYPERLINK("C:\Users\Dangi\Desktop\Buchhaltung\Beispiele\Unterordner 1\23050417412973_IT02046570426_4vHgk.xml.p7m", "23050417412973_IT02046570426_4vHgk.xml.p7m")</f>
        <v/>
      </c>
    </row>
    <row r="86">
      <c r="A86" t="inlineStr">
        <is>
          <t>Rechnung</t>
        </is>
      </c>
      <c r="B86" t="inlineStr">
        <is>
          <t>RECH-2023-5717</t>
        </is>
      </c>
      <c r="C86" t="inlineStr">
        <is>
          <t>2023-04-30</t>
        </is>
      </c>
      <c r="D86" t="inlineStr">
        <is>
          <t>Kostner Service GmbH</t>
        </is>
      </c>
      <c r="E86" t="inlineStr">
        <is>
          <t>02753540216</t>
        </is>
      </c>
      <c r="F86" t="inlineStr">
        <is>
          <t>KMS OHG des Matzoll Markus &amp; Co.</t>
        </is>
      </c>
      <c r="G86" t="inlineStr">
        <is>
          <t>01541130215</t>
        </is>
      </c>
      <c r="H86" t="inlineStr">
        <is>
          <t>DIESEL</t>
        </is>
      </c>
      <c r="I86" t="inlineStr">
        <is>
          <t>BX 461 XP</t>
        </is>
      </c>
      <c r="J86" t="inlineStr">
        <is>
          <t>LKW</t>
        </is>
      </c>
      <c r="K86" t="n">
        <v>20.01</v>
      </c>
      <c r="L86" s="2" t="n">
        <v>1.49098361</v>
      </c>
      <c r="M86" s="2" t="n">
        <v>29.51</v>
      </c>
      <c r="N86" s="3" t="n">
        <v>0.22</v>
      </c>
      <c r="O86" s="4">
        <f>HYPERLINK("C:\Users\Dangi\Desktop\Buchhaltung\Beispiele\Unterordner 1\23050417412973_IT02046570426_4vHgk.xml.p7m", "23050417412973_IT02046570426_4vHgk.xml.p7m")</f>
        <v/>
      </c>
    </row>
    <row r="87">
      <c r="A87" t="inlineStr">
        <is>
          <t>Rechnung</t>
        </is>
      </c>
      <c r="B87" t="inlineStr">
        <is>
          <t>RECH-2023-5717</t>
        </is>
      </c>
      <c r="C87" t="inlineStr">
        <is>
          <t>2023-04-30</t>
        </is>
      </c>
      <c r="D87" t="inlineStr">
        <is>
          <t>Kostner Service GmbH</t>
        </is>
      </c>
      <c r="E87" t="inlineStr">
        <is>
          <t>02753540216</t>
        </is>
      </c>
      <c r="F87" t="inlineStr">
        <is>
          <t>KMS OHG des Matzoll Markus &amp; Co.</t>
        </is>
      </c>
      <c r="G87" t="inlineStr">
        <is>
          <t>01541130215</t>
        </is>
      </c>
      <c r="H87" t="inlineStr">
        <is>
          <t>DIESEL</t>
        </is>
      </c>
      <c r="I87" t="inlineStr">
        <is>
          <t>BX 461 XP</t>
        </is>
      </c>
      <c r="J87" t="inlineStr">
        <is>
          <t>LKW</t>
        </is>
      </c>
      <c r="K87" t="n">
        <v>23.11</v>
      </c>
      <c r="L87" s="2" t="n">
        <v>1.44180328</v>
      </c>
      <c r="M87" s="2" t="n">
        <v>32.94</v>
      </c>
      <c r="N87" s="3" t="n">
        <v>0.22</v>
      </c>
      <c r="O87" s="4">
        <f>HYPERLINK("C:\Users\Dangi\Desktop\Buchhaltung\Beispiele\Unterordner 1\23050417412973_IT02046570426_4vHgk.xml.p7m", "23050417412973_IT02046570426_4vHgk.xml.p7m")</f>
        <v/>
      </c>
    </row>
    <row r="88">
      <c r="A88" t="inlineStr">
        <is>
          <t>Rechnung</t>
        </is>
      </c>
      <c r="B88" t="inlineStr">
        <is>
          <t>RECH-2023-5717</t>
        </is>
      </c>
      <c r="C88" t="inlineStr">
        <is>
          <t>2023-04-30</t>
        </is>
      </c>
      <c r="D88" t="inlineStr">
        <is>
          <t>Kostner Service GmbH</t>
        </is>
      </c>
      <c r="E88" t="inlineStr">
        <is>
          <t>02753540216</t>
        </is>
      </c>
      <c r="F88" t="inlineStr">
        <is>
          <t>KMS OHG des Matzoll Markus &amp; Co.</t>
        </is>
      </c>
      <c r="G88" t="inlineStr">
        <is>
          <t>01541130215</t>
        </is>
      </c>
      <c r="H88" t="inlineStr">
        <is>
          <t>DIESEL</t>
        </is>
      </c>
      <c r="I88" t="inlineStr">
        <is>
          <t>FN 753 YS</t>
        </is>
      </c>
      <c r="J88" t="inlineStr">
        <is>
          <t>LKW</t>
        </is>
      </c>
      <c r="K88" t="n">
        <v>52.98</v>
      </c>
      <c r="L88" s="2" t="n">
        <v>1.48278689</v>
      </c>
      <c r="M88" s="2" t="n">
        <v>77.69</v>
      </c>
      <c r="N88" s="3" t="n">
        <v>0.22</v>
      </c>
      <c r="O88" s="4">
        <f>HYPERLINK("C:\Users\Dangi\Desktop\Buchhaltung\Beispiele\Unterordner 1\23050417412973_IT02046570426_4vHgk.xml.p7m", "23050417412973_IT02046570426_4vHgk.xml.p7m")</f>
        <v/>
      </c>
    </row>
    <row r="89">
      <c r="A89" t="inlineStr">
        <is>
          <t>Rechnung</t>
        </is>
      </c>
      <c r="B89" t="inlineStr">
        <is>
          <t>RECH-2023-5717</t>
        </is>
      </c>
      <c r="C89" t="inlineStr">
        <is>
          <t>2023-04-30</t>
        </is>
      </c>
      <c r="D89" t="inlineStr">
        <is>
          <t>Kostner Service GmbH</t>
        </is>
      </c>
      <c r="E89" t="inlineStr">
        <is>
          <t>02753540216</t>
        </is>
      </c>
      <c r="F89" t="inlineStr">
        <is>
          <t>KMS OHG des Matzoll Markus &amp; Co.</t>
        </is>
      </c>
      <c r="G89" t="inlineStr">
        <is>
          <t>01541130215</t>
        </is>
      </c>
      <c r="H89" t="inlineStr">
        <is>
          <t>DIESEL</t>
        </is>
      </c>
      <c r="I89" t="inlineStr">
        <is>
          <t>FN 753 YS</t>
        </is>
      </c>
      <c r="J89" t="inlineStr">
        <is>
          <t>LKW</t>
        </is>
      </c>
      <c r="K89" t="n">
        <v>51.32</v>
      </c>
      <c r="L89" s="2" t="n">
        <v>1.49098361</v>
      </c>
      <c r="M89" s="2" t="n">
        <v>75.67</v>
      </c>
      <c r="N89" s="3" t="n">
        <v>0.22</v>
      </c>
      <c r="O89" s="4">
        <f>HYPERLINK("C:\Users\Dangi\Desktop\Buchhaltung\Beispiele\Unterordner 1\23050417412973_IT02046570426_4vHgk.xml.p7m", "23050417412973_IT02046570426_4vHgk.xml.p7m")</f>
        <v/>
      </c>
    </row>
    <row r="90">
      <c r="A90" t="inlineStr">
        <is>
          <t>Rechnung</t>
        </is>
      </c>
      <c r="B90" t="inlineStr">
        <is>
          <t>RECH-2023-5717</t>
        </is>
      </c>
      <c r="C90" t="inlineStr">
        <is>
          <t>2023-04-30</t>
        </is>
      </c>
      <c r="D90" t="inlineStr">
        <is>
          <t>Kostner Service GmbH</t>
        </is>
      </c>
      <c r="E90" t="inlineStr">
        <is>
          <t>02753540216</t>
        </is>
      </c>
      <c r="F90" t="inlineStr">
        <is>
          <t>KMS OHG des Matzoll Markus &amp; Co.</t>
        </is>
      </c>
      <c r="G90" t="inlineStr">
        <is>
          <t>01541130215</t>
        </is>
      </c>
      <c r="H90" t="inlineStr">
        <is>
          <t>DIESEL</t>
        </is>
      </c>
      <c r="I90" t="inlineStr">
        <is>
          <t>FN 753 YS</t>
        </is>
      </c>
      <c r="J90" t="inlineStr">
        <is>
          <t>LKW</t>
        </is>
      </c>
      <c r="K90" t="n">
        <v>40.62</v>
      </c>
      <c r="L90" s="2" t="n">
        <v>1.4909836</v>
      </c>
      <c r="M90" s="2" t="n">
        <v>59.9</v>
      </c>
      <c r="N90" s="3" t="n">
        <v>0.22</v>
      </c>
      <c r="O90" s="4">
        <f>HYPERLINK("C:\Users\Dangi\Desktop\Buchhaltung\Beispiele\Unterordner 1\23050417412973_IT02046570426_4vHgk.xml.p7m", "23050417412973_IT02046570426_4vHgk.xml.p7m")</f>
        <v/>
      </c>
    </row>
    <row r="91">
      <c r="A91" t="inlineStr">
        <is>
          <t>Rechnung</t>
        </is>
      </c>
      <c r="B91" t="inlineStr">
        <is>
          <t>RECH-2023-5717</t>
        </is>
      </c>
      <c r="C91" t="inlineStr">
        <is>
          <t>2023-04-30</t>
        </is>
      </c>
      <c r="D91" t="inlineStr">
        <is>
          <t>Kostner Service GmbH</t>
        </is>
      </c>
      <c r="E91" t="inlineStr">
        <is>
          <t>02753540216</t>
        </is>
      </c>
      <c r="F91" t="inlineStr">
        <is>
          <t>KMS OHG des Matzoll Markus &amp; Co.</t>
        </is>
      </c>
      <c r="G91" t="inlineStr">
        <is>
          <t>01541130215</t>
        </is>
      </c>
      <c r="H91" t="inlineStr">
        <is>
          <t>DIESEL</t>
        </is>
      </c>
      <c r="I91" t="inlineStr">
        <is>
          <t>FN 753 YS</t>
        </is>
      </c>
      <c r="J91" t="inlineStr">
        <is>
          <t>LKW</t>
        </is>
      </c>
      <c r="K91" t="n">
        <v>50.4</v>
      </c>
      <c r="L91" s="2" t="n">
        <v>1.44180328</v>
      </c>
      <c r="M91" s="2" t="n">
        <v>71.84</v>
      </c>
      <c r="N91" s="3" t="n">
        <v>0.22</v>
      </c>
      <c r="O91" s="4">
        <f>HYPERLINK("C:\Users\Dangi\Desktop\Buchhaltung\Beispiele\Unterordner 1\23050417412973_IT02046570426_4vHgk.xml.p7m", "23050417412973_IT02046570426_4vHgk.xml.p7m")</f>
        <v/>
      </c>
    </row>
    <row r="92">
      <c r="A92" t="inlineStr">
        <is>
          <t>Rechnung</t>
        </is>
      </c>
      <c r="B92" t="inlineStr">
        <is>
          <t>RECH-2023-5717</t>
        </is>
      </c>
      <c r="C92" t="inlineStr">
        <is>
          <t>2023-04-30</t>
        </is>
      </c>
      <c r="D92" t="inlineStr">
        <is>
          <t>Kostner Service GmbH</t>
        </is>
      </c>
      <c r="E92" t="inlineStr">
        <is>
          <t>02753540216</t>
        </is>
      </c>
      <c r="F92" t="inlineStr">
        <is>
          <t>KMS OHG des Matzoll Markus &amp; Co.</t>
        </is>
      </c>
      <c r="G92" t="inlineStr">
        <is>
          <t>01541130215</t>
        </is>
      </c>
      <c r="H92" t="inlineStr">
        <is>
          <t>DIESEL</t>
        </is>
      </c>
      <c r="I92" t="inlineStr">
        <is>
          <t>FC 199 SH</t>
        </is>
      </c>
      <c r="J92" t="inlineStr">
        <is>
          <t>LKW</t>
        </is>
      </c>
      <c r="K92" t="n">
        <v>48.57</v>
      </c>
      <c r="L92" s="2" t="n">
        <v>1.44180328</v>
      </c>
      <c r="M92" s="2" t="n">
        <v>69.23</v>
      </c>
      <c r="N92" s="3" t="n">
        <v>0.22</v>
      </c>
      <c r="O92" s="4">
        <f>HYPERLINK("C:\Users\Dangi\Desktop\Buchhaltung\Beispiele\Unterordner 1\23050417412973_IT02046570426_4vHgk.xml.p7m", "23050417412973_IT02046570426_4vHgk.xml.p7m")</f>
        <v/>
      </c>
    </row>
    <row r="93">
      <c r="A93" t="inlineStr">
        <is>
          <t>Rechnung</t>
        </is>
      </c>
      <c r="B93" t="inlineStr">
        <is>
          <t>RECH-2023-5717</t>
        </is>
      </c>
      <c r="C93" t="inlineStr">
        <is>
          <t>2023-04-30</t>
        </is>
      </c>
      <c r="D93" t="inlineStr">
        <is>
          <t>Kostner Service GmbH</t>
        </is>
      </c>
      <c r="E93" t="inlineStr">
        <is>
          <t>02753540216</t>
        </is>
      </c>
      <c r="F93" t="inlineStr">
        <is>
          <t>KMS OHG des Matzoll Markus &amp; Co.</t>
        </is>
      </c>
      <c r="G93" t="inlineStr">
        <is>
          <t>01541130215</t>
        </is>
      </c>
      <c r="H93" t="inlineStr">
        <is>
          <t>DIESEL</t>
        </is>
      </c>
      <c r="I93" t="inlineStr">
        <is>
          <t>ED 108 VS</t>
        </is>
      </c>
      <c r="J93" t="inlineStr">
        <is>
          <t>LKW</t>
        </is>
      </c>
      <c r="K93" t="n">
        <v>32.14</v>
      </c>
      <c r="L93" s="2" t="n">
        <v>1.49098361</v>
      </c>
      <c r="M93" s="2" t="n">
        <v>47.39</v>
      </c>
      <c r="N93" s="3" t="n">
        <v>0.22</v>
      </c>
      <c r="O93" s="4">
        <f>HYPERLINK("C:\Users\Dangi\Desktop\Buchhaltung\Beispiele\Unterordner 1\23050417412973_IT02046570426_4vHgk.xml.p7m", "23050417412973_IT02046570426_4vHgk.xml.p7m")</f>
        <v/>
      </c>
    </row>
    <row r="94">
      <c r="A94" t="inlineStr">
        <is>
          <t>Rechnung</t>
        </is>
      </c>
      <c r="B94" t="inlineStr">
        <is>
          <t>RECH-2023-5717</t>
        </is>
      </c>
      <c r="C94" t="inlineStr">
        <is>
          <t>2023-04-30</t>
        </is>
      </c>
      <c r="D94" t="inlineStr">
        <is>
          <t>Kostner Service GmbH</t>
        </is>
      </c>
      <c r="E94" t="inlineStr">
        <is>
          <t>02753540216</t>
        </is>
      </c>
      <c r="F94" t="inlineStr">
        <is>
          <t>KMS OHG des Matzoll Markus &amp; Co.</t>
        </is>
      </c>
      <c r="G94" t="inlineStr">
        <is>
          <t>01541130215</t>
        </is>
      </c>
      <c r="H94" t="inlineStr">
        <is>
          <t>DIESEL</t>
        </is>
      </c>
      <c r="I94" t="inlineStr">
        <is>
          <t>EX 360 JZ</t>
        </is>
      </c>
      <c r="J94" t="inlineStr">
        <is>
          <t>LKW</t>
        </is>
      </c>
      <c r="K94" t="n">
        <v>41.64</v>
      </c>
      <c r="L94" s="2" t="n">
        <v>1.49098361</v>
      </c>
      <c r="M94" s="2" t="n">
        <v>61.4</v>
      </c>
      <c r="N94" s="3" t="n">
        <v>0.22</v>
      </c>
      <c r="O94" s="4">
        <f>HYPERLINK("C:\Users\Dangi\Desktop\Buchhaltung\Beispiele\Unterordner 1\23050417412973_IT02046570426_4vHgk.xml.p7m", "23050417412973_IT02046570426_4vHgk.xml.p7m")</f>
        <v/>
      </c>
    </row>
    <row r="95">
      <c r="A95" t="inlineStr">
        <is>
          <t>Rechnung</t>
        </is>
      </c>
      <c r="B95" t="inlineStr">
        <is>
          <t>RECH-2023-5717</t>
        </is>
      </c>
      <c r="C95" t="inlineStr">
        <is>
          <t>2023-04-30</t>
        </is>
      </c>
      <c r="D95" t="inlineStr">
        <is>
          <t>Kostner Service GmbH</t>
        </is>
      </c>
      <c r="E95" t="inlineStr">
        <is>
          <t>02753540216</t>
        </is>
      </c>
      <c r="F95" t="inlineStr">
        <is>
          <t>KMS OHG des Matzoll Markus &amp; Co.</t>
        </is>
      </c>
      <c r="G95" t="inlineStr">
        <is>
          <t>01541130215</t>
        </is>
      </c>
      <c r="H95" t="inlineStr">
        <is>
          <t>DIESEL</t>
        </is>
      </c>
      <c r="I95" t="inlineStr">
        <is>
          <t>EX 360 JZ</t>
        </is>
      </c>
      <c r="J95" t="inlineStr">
        <is>
          <t>LKW</t>
        </is>
      </c>
      <c r="K95" t="n">
        <v>37.4</v>
      </c>
      <c r="L95" s="2" t="n">
        <v>1.44180328</v>
      </c>
      <c r="M95" s="2" t="n">
        <v>53.31</v>
      </c>
      <c r="N95" s="3" t="n">
        <v>0.22</v>
      </c>
      <c r="O95" s="4">
        <f>HYPERLINK("C:\Users\Dangi\Desktop\Buchhaltung\Beispiele\Unterordner 1\23050417412973_IT02046570426_4vHgk.xml.p7m", "23050417412973_IT02046570426_4vHgk.xml.p7m")</f>
        <v/>
      </c>
    </row>
    <row r="96">
      <c r="A96" t="inlineStr">
        <is>
          <t>Rechnung</t>
        </is>
      </c>
      <c r="B96" t="inlineStr">
        <is>
          <t>RECH-2023-5717</t>
        </is>
      </c>
      <c r="C96" t="inlineStr">
        <is>
          <t>2023-04-30</t>
        </is>
      </c>
      <c r="D96" t="inlineStr">
        <is>
          <t>Kostner Service GmbH</t>
        </is>
      </c>
      <c r="E96" t="inlineStr">
        <is>
          <t>02753540216</t>
        </is>
      </c>
      <c r="F96" t="inlineStr">
        <is>
          <t>KMS OHG des Matzoll Markus &amp; Co.</t>
        </is>
      </c>
      <c r="G96" t="inlineStr">
        <is>
          <t>01541130215</t>
        </is>
      </c>
      <c r="H96" t="inlineStr">
        <is>
          <t>DIESEL</t>
        </is>
      </c>
      <c r="I96" t="inlineStr">
        <is>
          <t>FY 669 VW</t>
        </is>
      </c>
      <c r="J96" t="inlineStr">
        <is>
          <t>LKW</t>
        </is>
      </c>
      <c r="K96" t="n">
        <v>35.63</v>
      </c>
      <c r="L96" s="2" t="n">
        <v>1.44180328</v>
      </c>
      <c r="M96" s="2" t="n">
        <v>50.79</v>
      </c>
      <c r="N96" s="3" t="n">
        <v>0.22</v>
      </c>
      <c r="O96" s="4">
        <f>HYPERLINK("C:\Users\Dangi\Desktop\Buchhaltung\Beispiele\Unterordner 1\23050417412973_IT02046570426_4vHgk.xml.p7m", "23050417412973_IT02046570426_4vHgk.xml.p7m")</f>
        <v/>
      </c>
    </row>
    <row r="97">
      <c r="A97" t="inlineStr">
        <is>
          <t>Rechnung</t>
        </is>
      </c>
      <c r="B97" t="inlineStr">
        <is>
          <t>00163</t>
        </is>
      </c>
      <c r="C97" t="inlineStr">
        <is>
          <t>2023-05-31</t>
        </is>
      </c>
      <c r="D97" t="inlineStr">
        <is>
          <t>Kostner Service GmbH</t>
        </is>
      </c>
      <c r="E97" t="inlineStr">
        <is>
          <t>02753540216</t>
        </is>
      </c>
      <c r="F97" t="inlineStr">
        <is>
          <t>KMS OHG des Matzoll Markus &amp; Co.</t>
        </is>
      </c>
      <c r="G97" t="inlineStr">
        <is>
          <t>01541130215</t>
        </is>
      </c>
      <c r="H97" t="inlineStr">
        <is>
          <t>Diesel</t>
        </is>
      </c>
      <c r="I97" t="inlineStr">
        <is>
          <t>FF 980 YV</t>
        </is>
      </c>
      <c r="J97" t="inlineStr">
        <is>
          <t>LKW</t>
        </is>
      </c>
      <c r="K97" t="n">
        <v>255.01</v>
      </c>
      <c r="L97" s="2" t="n">
        <v>1.40081295</v>
      </c>
      <c r="M97" s="2" t="n">
        <v>357.22131148</v>
      </c>
      <c r="N97" s="3" t="n">
        <v>0.22</v>
      </c>
      <c r="O97" s="4">
        <f>HYPERLINK("C:\Users\Dangi\Desktop\Buchhaltung\Beispiele\Unterordner 2\23060213085932_IT03618500403_YZY8U.xml.p7m", "23060213085932_IT03618500403_YZY8U.xml.p7m")</f>
        <v/>
      </c>
    </row>
    <row r="98">
      <c r="A98" t="inlineStr">
        <is>
          <t>Rechnung</t>
        </is>
      </c>
      <c r="B98" t="inlineStr">
        <is>
          <t>00163</t>
        </is>
      </c>
      <c r="C98" t="inlineStr">
        <is>
          <t>2023-05-31</t>
        </is>
      </c>
      <c r="D98" t="inlineStr">
        <is>
          <t>Kostner Service GmbH</t>
        </is>
      </c>
      <c r="E98" t="inlineStr">
        <is>
          <t>02753540216</t>
        </is>
      </c>
      <c r="F98" t="inlineStr">
        <is>
          <t>KMS OHG des Matzoll Markus &amp; Co.</t>
        </is>
      </c>
      <c r="G98" t="inlineStr">
        <is>
          <t>01541130215</t>
        </is>
      </c>
      <c r="H98" t="inlineStr">
        <is>
          <t>Diesel</t>
        </is>
      </c>
      <c r="I98" t="inlineStr">
        <is>
          <t>BZ 529 AA</t>
        </is>
      </c>
      <c r="J98" t="inlineStr">
        <is>
          <t>LKW</t>
        </is>
      </c>
      <c r="K98" t="n">
        <v>173.9</v>
      </c>
      <c r="L98" s="2" t="n">
        <v>1.40084277</v>
      </c>
      <c r="M98" s="2" t="n">
        <v>243.60655738</v>
      </c>
      <c r="N98" s="3" t="n">
        <v>0.22</v>
      </c>
      <c r="O98" s="4">
        <f>HYPERLINK("C:\Users\Dangi\Desktop\Buchhaltung\Beispiele\Unterordner 2\23060213085932_IT03618500403_YZY8U.xml.p7m", "23060213085932_IT03618500403_YZY8U.xml.p7m")</f>
        <v/>
      </c>
    </row>
    <row r="99">
      <c r="A99" t="inlineStr">
        <is>
          <t>Rechnung</t>
        </is>
      </c>
      <c r="B99" t="inlineStr">
        <is>
          <t>00163</t>
        </is>
      </c>
      <c r="C99" t="inlineStr">
        <is>
          <t>2023-05-31</t>
        </is>
      </c>
      <c r="D99" t="inlineStr">
        <is>
          <t>Kostner Service GmbH</t>
        </is>
      </c>
      <c r="E99" t="inlineStr">
        <is>
          <t>02753540216</t>
        </is>
      </c>
      <c r="F99" t="inlineStr">
        <is>
          <t>KMS OHG des Matzoll Markus &amp; Co.</t>
        </is>
      </c>
      <c r="G99" t="inlineStr">
        <is>
          <t>01541130215</t>
        </is>
      </c>
      <c r="H99" t="inlineStr">
        <is>
          <t>Diesel</t>
        </is>
      </c>
      <c r="I99" t="inlineStr">
        <is>
          <t>BZ 529 AA</t>
        </is>
      </c>
      <c r="J99" t="inlineStr">
        <is>
          <t>LKW</t>
        </is>
      </c>
      <c r="K99" t="n">
        <v>156.08</v>
      </c>
      <c r="L99" s="2" t="n">
        <v>1.40081589</v>
      </c>
      <c r="M99" s="2" t="n">
        <v>218.63934426</v>
      </c>
      <c r="N99" s="3" t="n">
        <v>0.22</v>
      </c>
      <c r="O99" s="4">
        <f>HYPERLINK("C:\Users\Dangi\Desktop\Buchhaltung\Beispiele\Unterordner 2\23060213085932_IT03618500403_YZY8U.xml.p7m", "23060213085932_IT03618500403_YZY8U.xml.p7m")</f>
        <v/>
      </c>
    </row>
    <row r="100">
      <c r="A100" t="inlineStr">
        <is>
          <t>Rechnung</t>
        </is>
      </c>
      <c r="B100" t="inlineStr">
        <is>
          <t>00163</t>
        </is>
      </c>
      <c r="C100" t="inlineStr">
        <is>
          <t>2023-05-31</t>
        </is>
      </c>
      <c r="D100" t="inlineStr">
        <is>
          <t>Kostner Service GmbH</t>
        </is>
      </c>
      <c r="E100" t="inlineStr">
        <is>
          <t>02753540216</t>
        </is>
      </c>
      <c r="F100" t="inlineStr">
        <is>
          <t>KMS OHG des Matzoll Markus &amp; Co.</t>
        </is>
      </c>
      <c r="G100" t="inlineStr">
        <is>
          <t>01541130215</t>
        </is>
      </c>
      <c r="H100" t="inlineStr">
        <is>
          <t>Diesel</t>
        </is>
      </c>
      <c r="I100" t="inlineStr">
        <is>
          <t>DY 410 JB</t>
        </is>
      </c>
      <c r="J100" t="inlineStr">
        <is>
          <t>LKW</t>
        </is>
      </c>
      <c r="K100" t="n">
        <v>214.79</v>
      </c>
      <c r="L100" s="2" t="n">
        <v>1.40083452</v>
      </c>
      <c r="M100" s="2" t="n">
        <v>300.8852459</v>
      </c>
      <c r="N100" s="3" t="n">
        <v>0.22</v>
      </c>
      <c r="O100" s="4">
        <f>HYPERLINK("C:\Users\Dangi\Desktop\Buchhaltung\Beispiele\Unterordner 2\23060213085932_IT03618500403_YZY8U.xml.p7m", "23060213085932_IT03618500403_YZY8U.xml.p7m")</f>
        <v/>
      </c>
    </row>
    <row r="101">
      <c r="A101" t="inlineStr">
        <is>
          <t>Rechnung</t>
        </is>
      </c>
      <c r="B101" t="inlineStr">
        <is>
          <t>00163</t>
        </is>
      </c>
      <c r="C101" t="inlineStr">
        <is>
          <t>2023-05-31</t>
        </is>
      </c>
      <c r="D101" t="inlineStr">
        <is>
          <t>Kostner Service GmbH</t>
        </is>
      </c>
      <c r="E101" t="inlineStr">
        <is>
          <t>02753540216</t>
        </is>
      </c>
      <c r="F101" t="inlineStr">
        <is>
          <t>KMS OHG des Matzoll Markus &amp; Co.</t>
        </is>
      </c>
      <c r="G101" t="inlineStr">
        <is>
          <t>01541130215</t>
        </is>
      </c>
      <c r="H101" t="inlineStr">
        <is>
          <t>Diesel</t>
        </is>
      </c>
      <c r="I101" t="inlineStr">
        <is>
          <t>DY 410 JB</t>
        </is>
      </c>
      <c r="J101" t="inlineStr">
        <is>
          <t>LKW</t>
        </is>
      </c>
      <c r="K101" t="n">
        <v>164.29</v>
      </c>
      <c r="L101" s="2" t="n">
        <v>1.40081164</v>
      </c>
      <c r="M101" s="2" t="n">
        <v>230.13934426</v>
      </c>
      <c r="N101" s="3" t="n">
        <v>0.22</v>
      </c>
      <c r="O101" s="4">
        <f>HYPERLINK("C:\Users\Dangi\Desktop\Buchhaltung\Beispiele\Unterordner 2\23060213085932_IT03618500403_YZY8U.xml.p7m", "23060213085932_IT03618500403_YZY8U.xml.p7m")</f>
        <v/>
      </c>
    </row>
    <row r="102">
      <c r="A102" t="inlineStr">
        <is>
          <t>Rechnung</t>
        </is>
      </c>
      <c r="B102" t="inlineStr">
        <is>
          <t>00163</t>
        </is>
      </c>
      <c r="C102" t="inlineStr">
        <is>
          <t>2023-05-31</t>
        </is>
      </c>
      <c r="D102" t="inlineStr">
        <is>
          <t>Kostner Service GmbH</t>
        </is>
      </c>
      <c r="E102" t="inlineStr">
        <is>
          <t>02753540216</t>
        </is>
      </c>
      <c r="F102" t="inlineStr">
        <is>
          <t>KMS OHG des Matzoll Markus &amp; Co.</t>
        </is>
      </c>
      <c r="G102" t="inlineStr">
        <is>
          <t>01541130215</t>
        </is>
      </c>
      <c r="H102" t="inlineStr">
        <is>
          <t>Diesel</t>
        </is>
      </c>
      <c r="I102" t="inlineStr">
        <is>
          <t>GE 702 BF</t>
        </is>
      </c>
      <c r="J102" t="inlineStr">
        <is>
          <t>LKW</t>
        </is>
      </c>
      <c r="K102" t="n">
        <v>196.7</v>
      </c>
      <c r="L102" s="2" t="n">
        <v>1.40081842</v>
      </c>
      <c r="M102" s="2" t="n">
        <v>275.54098361</v>
      </c>
      <c r="N102" s="3" t="n">
        <v>0.22</v>
      </c>
      <c r="O102" s="4">
        <f>HYPERLINK("C:\Users\Dangi\Desktop\Buchhaltung\Beispiele\Unterordner 2\23060213085932_IT03618500403_YZY8U.xml.p7m", "23060213085932_IT03618500403_YZY8U.xml.p7m")</f>
        <v/>
      </c>
    </row>
    <row r="103">
      <c r="A103" t="inlineStr">
        <is>
          <t>Rechnung</t>
        </is>
      </c>
      <c r="B103" t="inlineStr">
        <is>
          <t>00163</t>
        </is>
      </c>
      <c r="C103" t="inlineStr">
        <is>
          <t>2023-05-31</t>
        </is>
      </c>
      <c r="D103" t="inlineStr">
        <is>
          <t>Kostner Service GmbH</t>
        </is>
      </c>
      <c r="E103" t="inlineStr">
        <is>
          <t>02753540216</t>
        </is>
      </c>
      <c r="F103" t="inlineStr">
        <is>
          <t>KMS OHG des Matzoll Markus &amp; Co.</t>
        </is>
      </c>
      <c r="G103" t="inlineStr">
        <is>
          <t>01541130215</t>
        </is>
      </c>
      <c r="H103" t="inlineStr">
        <is>
          <t>Diesel</t>
        </is>
      </c>
      <c r="I103" t="inlineStr">
        <is>
          <t>GE 702 BF</t>
        </is>
      </c>
      <c r="J103" t="inlineStr">
        <is>
          <t>LKW</t>
        </is>
      </c>
      <c r="K103" t="n">
        <v>136.11</v>
      </c>
      <c r="L103" s="2" t="n">
        <v>1.40080769</v>
      </c>
      <c r="M103" s="2" t="n">
        <v>190.66393443</v>
      </c>
      <c r="N103" s="3" t="n">
        <v>0.22</v>
      </c>
      <c r="O103" s="4">
        <f>HYPERLINK("C:\Users\Dangi\Desktop\Buchhaltung\Beispiele\Unterordner 2\23060213085932_IT03618500403_YZY8U.xml.p7m", "23060213085932_IT03618500403_YZY8U.xml.p7m")</f>
        <v/>
      </c>
    </row>
    <row r="104">
      <c r="A104" t="inlineStr">
        <is>
          <t>Rechnung</t>
        </is>
      </c>
      <c r="B104" t="inlineStr">
        <is>
          <t>00163</t>
        </is>
      </c>
      <c r="C104" t="inlineStr">
        <is>
          <t>2023-05-31</t>
        </is>
      </c>
      <c r="D104" t="inlineStr">
        <is>
          <t>Kostner Service GmbH</t>
        </is>
      </c>
      <c r="E104" t="inlineStr">
        <is>
          <t>02753540216</t>
        </is>
      </c>
      <c r="F104" t="inlineStr">
        <is>
          <t>KMS OHG des Matzoll Markus &amp; Co.</t>
        </is>
      </c>
      <c r="G104" t="inlineStr">
        <is>
          <t>01541130215</t>
        </is>
      </c>
      <c r="H104" t="inlineStr">
        <is>
          <t>Diesel</t>
        </is>
      </c>
      <c r="I104" t="inlineStr">
        <is>
          <t>FN 753 YS</t>
        </is>
      </c>
      <c r="J104" t="inlineStr">
        <is>
          <t>LKW</t>
        </is>
      </c>
      <c r="K104" t="n">
        <v>63.8</v>
      </c>
      <c r="L104" s="2" t="n">
        <v>1.40076571</v>
      </c>
      <c r="M104" s="2" t="n">
        <v>89.36885246</v>
      </c>
      <c r="N104" s="3" t="n">
        <v>0.22</v>
      </c>
      <c r="O104" s="4">
        <f>HYPERLINK("C:\Users\Dangi\Desktop\Buchhaltung\Beispiele\Unterordner 2\23060213085932_IT03618500403_YZY8U.xml.p7m", "23060213085932_IT03618500403_YZY8U.xml.p7m")</f>
        <v/>
      </c>
    </row>
    <row r="105">
      <c r="A105" t="inlineStr">
        <is>
          <t>Rechnung</t>
        </is>
      </c>
      <c r="B105" t="inlineStr">
        <is>
          <t>00163</t>
        </is>
      </c>
      <c r="C105" t="inlineStr">
        <is>
          <t>2023-05-31</t>
        </is>
      </c>
      <c r="D105" t="inlineStr">
        <is>
          <t>Kostner Service GmbH</t>
        </is>
      </c>
      <c r="E105" t="inlineStr">
        <is>
          <t>02753540216</t>
        </is>
      </c>
      <c r="F105" t="inlineStr">
        <is>
          <t>KMS OHG des Matzoll Markus &amp; Co.</t>
        </is>
      </c>
      <c r="G105" t="inlineStr">
        <is>
          <t>01541130215</t>
        </is>
      </c>
      <c r="H105" t="inlineStr">
        <is>
          <t>Diesel</t>
        </is>
      </c>
      <c r="I105" t="inlineStr">
        <is>
          <t>FY 669 VW</t>
        </is>
      </c>
      <c r="J105" t="inlineStr">
        <is>
          <t>LKW</t>
        </is>
      </c>
      <c r="K105" t="n">
        <v>23.4</v>
      </c>
      <c r="L105" s="2" t="n">
        <v>1.40079865</v>
      </c>
      <c r="M105" s="2" t="n">
        <v>32.77868852</v>
      </c>
      <c r="N105" s="3" t="n">
        <v>0.22</v>
      </c>
      <c r="O105" s="4">
        <f>HYPERLINK("C:\Users\Dangi\Desktop\Buchhaltung\Beispiele\Unterordner 2\23060213085932_IT03618500403_YZY8U.xml.p7m", "23060213085932_IT03618500403_YZY8U.xml.p7m")</f>
        <v/>
      </c>
    </row>
    <row r="106">
      <c r="A106" t="inlineStr">
        <is>
          <t>Rechnung</t>
        </is>
      </c>
      <c r="B106" t="inlineStr">
        <is>
          <t>18526</t>
        </is>
      </c>
      <c r="C106" t="inlineStr">
        <is>
          <t>2025-12-31</t>
        </is>
      </c>
      <c r="D106" t="inlineStr">
        <is>
          <t>Kostner Service GmbH</t>
        </is>
      </c>
      <c r="E106" t="inlineStr">
        <is>
          <t>02753540216</t>
        </is>
      </c>
      <c r="F106" t="inlineStr">
        <is>
          <t>Vent Meinrad &amp; Co OHG</t>
        </is>
      </c>
      <c r="G106" t="inlineStr">
        <is>
          <t>01187500218</t>
        </is>
      </c>
      <c r="H106" t="inlineStr">
        <is>
          <t>Diesel</t>
        </is>
      </c>
      <c r="I106" t="inlineStr">
        <is>
          <t>DY 236 JL</t>
        </is>
      </c>
      <c r="J106" t="inlineStr">
        <is>
          <t>LKW</t>
        </is>
      </c>
      <c r="K106" t="n">
        <v>50.68</v>
      </c>
      <c r="L106" s="2" t="n">
        <v>1.38445017</v>
      </c>
      <c r="M106" s="2" t="n">
        <v>70.16393443</v>
      </c>
      <c r="N106" s="3" t="n">
        <v>0.22</v>
      </c>
      <c r="O106" s="4">
        <f>HYPERLINK("C:\Users\Dangi\Desktop\Buchhaltung\Beispiele\Unterordner 2\IT03618500403_3Bgj5.xml.p7m", "IT03618500403_3Bgj5.xml.p7m")</f>
        <v/>
      </c>
    </row>
    <row r="107">
      <c r="A107" t="inlineStr">
        <is>
          <t>Rechnung</t>
        </is>
      </c>
      <c r="B107" t="inlineStr">
        <is>
          <t>18526</t>
        </is>
      </c>
      <c r="C107" t="inlineStr">
        <is>
          <t>2025-12-31</t>
        </is>
      </c>
      <c r="D107" t="inlineStr">
        <is>
          <t>Kostner Service GmbH</t>
        </is>
      </c>
      <c r="E107" t="inlineStr">
        <is>
          <t>02753540216</t>
        </is>
      </c>
      <c r="F107" t="inlineStr">
        <is>
          <t>Vent Meinrad &amp; Co OHG</t>
        </is>
      </c>
      <c r="G107" t="inlineStr">
        <is>
          <t>01187500218</t>
        </is>
      </c>
      <c r="H107" t="inlineStr">
        <is>
          <t>Diesel</t>
        </is>
      </c>
      <c r="I107" t="inlineStr">
        <is>
          <t>FB 710 GH</t>
        </is>
      </c>
      <c r="J107" t="inlineStr">
        <is>
          <t>LKW</t>
        </is>
      </c>
      <c r="K107" t="n">
        <v>31.18</v>
      </c>
      <c r="L107" s="2" t="n">
        <v>1.40090853</v>
      </c>
      <c r="M107" s="2" t="n">
        <v>43.68032787</v>
      </c>
      <c r="N107" s="3" t="n">
        <v>0.22</v>
      </c>
      <c r="O107" s="4">
        <f>HYPERLINK("C:\Users\Dangi\Desktop\Buchhaltung\Beispiele\Unterordner 2\IT03618500403_3Bgj5.xml.p7m", "IT03618500403_3Bgj5.xml.p7m")</f>
        <v/>
      </c>
    </row>
    <row r="108">
      <c r="A108" t="inlineStr">
        <is>
          <t>Rechnung</t>
        </is>
      </c>
      <c r="B108" t="inlineStr">
        <is>
          <t>18526</t>
        </is>
      </c>
      <c r="C108" t="inlineStr">
        <is>
          <t>2025-12-31</t>
        </is>
      </c>
      <c r="D108" t="inlineStr">
        <is>
          <t>Kostner Service GmbH</t>
        </is>
      </c>
      <c r="E108" t="inlineStr">
        <is>
          <t>02753540216</t>
        </is>
      </c>
      <c r="F108" t="inlineStr">
        <is>
          <t>Vent Meinrad &amp; Co OHG</t>
        </is>
      </c>
      <c r="G108" t="inlineStr">
        <is>
          <t>01187500218</t>
        </is>
      </c>
      <c r="H108" t="inlineStr">
        <is>
          <t>Diesel</t>
        </is>
      </c>
      <c r="I108" t="inlineStr">
        <is>
          <t>EY 924 KW</t>
        </is>
      </c>
      <c r="J108" t="inlineStr">
        <is>
          <t>LKW</t>
        </is>
      </c>
      <c r="K108" t="n">
        <v>47.97</v>
      </c>
      <c r="L108" s="2" t="n">
        <v>1.41721089</v>
      </c>
      <c r="M108" s="2" t="n">
        <v>67.98360656</v>
      </c>
      <c r="N108" s="3" t="n">
        <v>0.22</v>
      </c>
      <c r="O108" s="4">
        <f>HYPERLINK("C:\Users\Dangi\Desktop\Buchhaltung\Beispiele\Unterordner 2\IT03618500403_3Bgj5.xml.p7m", "IT03618500403_3Bgj5.xml.p7m")</f>
        <v/>
      </c>
    </row>
    <row r="109">
      <c r="A109" t="inlineStr">
        <is>
          <t>Rechnung</t>
        </is>
      </c>
      <c r="B109" t="inlineStr">
        <is>
          <t>18526</t>
        </is>
      </c>
      <c r="C109" t="inlineStr">
        <is>
          <t>2025-12-31</t>
        </is>
      </c>
      <c r="D109" t="inlineStr">
        <is>
          <t>Kostner Service GmbH</t>
        </is>
      </c>
      <c r="E109" t="inlineStr">
        <is>
          <t>02753540216</t>
        </is>
      </c>
      <c r="F109" t="inlineStr">
        <is>
          <t>Vent Meinrad &amp; Co OHG</t>
        </is>
      </c>
      <c r="G109" t="inlineStr">
        <is>
          <t>01187500218</t>
        </is>
      </c>
      <c r="H109" t="inlineStr">
        <is>
          <t>Diesel</t>
        </is>
      </c>
      <c r="I109" t="inlineStr">
        <is>
          <t>EY 924 KW</t>
        </is>
      </c>
      <c r="J109" t="inlineStr">
        <is>
          <t>LKW</t>
        </is>
      </c>
      <c r="K109" t="n">
        <v>43.34</v>
      </c>
      <c r="L109" s="2" t="n">
        <v>1.36794844</v>
      </c>
      <c r="M109" s="2" t="n">
        <v>59.28688525</v>
      </c>
      <c r="N109" s="3" t="n">
        <v>0.22</v>
      </c>
      <c r="O109" s="4">
        <f>HYPERLINK("C:\Users\Dangi\Desktop\Buchhaltung\Beispiele\Unterordner 2\IT03618500403_3Bgj5.xml.p7m", "IT03618500403_3Bgj5.xml.p7m")</f>
        <v/>
      </c>
    </row>
    <row r="110">
      <c r="A110" t="inlineStr">
        <is>
          <t>Rechnung</t>
        </is>
      </c>
      <c r="B110" t="inlineStr">
        <is>
          <t>18526</t>
        </is>
      </c>
      <c r="C110" t="inlineStr">
        <is>
          <t>2025-12-31</t>
        </is>
      </c>
      <c r="D110" t="inlineStr">
        <is>
          <t>Kostner Service GmbH</t>
        </is>
      </c>
      <c r="E110" t="inlineStr">
        <is>
          <t>02753540216</t>
        </is>
      </c>
      <c r="F110" t="inlineStr">
        <is>
          <t>Vent Meinrad &amp; Co OHG</t>
        </is>
      </c>
      <c r="G110" t="inlineStr">
        <is>
          <t>01187500218</t>
        </is>
      </c>
      <c r="H110" t="inlineStr">
        <is>
          <t>Diesel</t>
        </is>
      </c>
      <c r="I110" t="inlineStr">
        <is>
          <t>GV 368 WT</t>
        </is>
      </c>
      <c r="J110" t="inlineStr">
        <is>
          <t>LKW</t>
        </is>
      </c>
      <c r="K110" t="n">
        <v>47.51</v>
      </c>
      <c r="L110" s="2" t="n">
        <v>1.42541173</v>
      </c>
      <c r="M110" s="2" t="n">
        <v>67.72131148</v>
      </c>
      <c r="N110" s="3" t="n">
        <v>0.22</v>
      </c>
      <c r="O110" s="4">
        <f>HYPERLINK("C:\Users\Dangi\Desktop\Buchhaltung\Beispiele\Unterordner 2\IT03618500403_3Bgj5.xml.p7m", "IT03618500403_3Bgj5.xml.p7m")</f>
        <v/>
      </c>
    </row>
    <row r="111">
      <c r="A111" t="inlineStr">
        <is>
          <t>Rechnung</t>
        </is>
      </c>
      <c r="B111" t="inlineStr">
        <is>
          <t>18526</t>
        </is>
      </c>
      <c r="C111" t="inlineStr">
        <is>
          <t>2025-12-31</t>
        </is>
      </c>
      <c r="D111" t="inlineStr">
        <is>
          <t>Kostner Service GmbH</t>
        </is>
      </c>
      <c r="E111" t="inlineStr">
        <is>
          <t>02753540216</t>
        </is>
      </c>
      <c r="F111" t="inlineStr">
        <is>
          <t>Vent Meinrad &amp; Co OHG</t>
        </is>
      </c>
      <c r="G111" t="inlineStr">
        <is>
          <t>01187500218</t>
        </is>
      </c>
      <c r="H111" t="inlineStr">
        <is>
          <t>Diesel</t>
        </is>
      </c>
      <c r="I111" t="inlineStr">
        <is>
          <t>GV 368 WT</t>
        </is>
      </c>
      <c r="J111" t="inlineStr">
        <is>
          <t>LKW</t>
        </is>
      </c>
      <c r="K111" t="n">
        <v>43.34</v>
      </c>
      <c r="L111" s="2" t="n">
        <v>1.3844024</v>
      </c>
      <c r="M111" s="2" t="n">
        <v>60</v>
      </c>
      <c r="N111" s="3" t="n">
        <v>0.22</v>
      </c>
      <c r="O111" s="4">
        <f>HYPERLINK("C:\Users\Dangi\Desktop\Buchhaltung\Beispiele\Unterordner 2\IT03618500403_3Bgj5.xml.p7m", "IT03618500403_3Bgj5.xml.p7m")</f>
        <v/>
      </c>
    </row>
    <row r="112">
      <c r="A112" t="inlineStr">
        <is>
          <t>Rechnung</t>
        </is>
      </c>
      <c r="B112" t="inlineStr">
        <is>
          <t>18526</t>
        </is>
      </c>
      <c r="C112" t="inlineStr">
        <is>
          <t>2025-12-31</t>
        </is>
      </c>
      <c r="D112" t="inlineStr">
        <is>
          <t>Kostner Service GmbH</t>
        </is>
      </c>
      <c r="E112" t="inlineStr">
        <is>
          <t>02753540216</t>
        </is>
      </c>
      <c r="F112" t="inlineStr">
        <is>
          <t>Vent Meinrad &amp; Co OHG</t>
        </is>
      </c>
      <c r="G112" t="inlineStr">
        <is>
          <t>01187500218</t>
        </is>
      </c>
      <c r="H112" t="inlineStr">
        <is>
          <t>Diesel</t>
        </is>
      </c>
      <c r="I112" t="inlineStr">
        <is>
          <t>GV 368 WT</t>
        </is>
      </c>
      <c r="J112" t="inlineStr">
        <is>
          <t>LKW</t>
        </is>
      </c>
      <c r="K112" t="n">
        <v>42.62</v>
      </c>
      <c r="L112" s="2" t="n">
        <v>1.38451893</v>
      </c>
      <c r="M112" s="2" t="n">
        <v>59.00819672</v>
      </c>
      <c r="N112" s="3" t="n">
        <v>0.22</v>
      </c>
      <c r="O112" s="4">
        <f>HYPERLINK("C:\Users\Dangi\Desktop\Buchhaltung\Beispiele\Unterordner 2\IT03618500403_3Bgj5.xml.p7m", "IT03618500403_3Bgj5.xml.p7m")</f>
        <v/>
      </c>
    </row>
    <row r="113">
      <c r="A113" t="inlineStr">
        <is>
          <t>Rechnung</t>
        </is>
      </c>
      <c r="B113" t="inlineStr">
        <is>
          <t>18526</t>
        </is>
      </c>
      <c r="C113" t="inlineStr">
        <is>
          <t>2025-12-31</t>
        </is>
      </c>
      <c r="D113" t="inlineStr">
        <is>
          <t>Kostner Service GmbH</t>
        </is>
      </c>
      <c r="E113" t="inlineStr">
        <is>
          <t>02753540216</t>
        </is>
      </c>
      <c r="F113" t="inlineStr">
        <is>
          <t>Vent Meinrad &amp; Co OHG</t>
        </is>
      </c>
      <c r="G113" t="inlineStr">
        <is>
          <t>01187500218</t>
        </is>
      </c>
      <c r="H113" t="inlineStr">
        <is>
          <t>Diesel</t>
        </is>
      </c>
      <c r="I113" t="inlineStr">
        <is>
          <t>GV 368 WT</t>
        </is>
      </c>
      <c r="J113" t="inlineStr">
        <is>
          <t>LKW</t>
        </is>
      </c>
      <c r="K113" t="n">
        <v>39.15</v>
      </c>
      <c r="L113" s="2" t="n">
        <v>1.36800452</v>
      </c>
      <c r="M113" s="2" t="n">
        <v>53.55737705</v>
      </c>
      <c r="N113" s="3" t="n">
        <v>0.22</v>
      </c>
      <c r="O113" s="4">
        <f>HYPERLINK("C:\Users\Dangi\Desktop\Buchhaltung\Beispiele\Unterordner 2\IT03618500403_3Bgj5.xml.p7m", "IT03618500403_3Bgj5.xml.p7m")</f>
        <v/>
      </c>
    </row>
    <row r="114">
      <c r="A114" t="inlineStr">
        <is>
          <t>Rechnung</t>
        </is>
      </c>
      <c r="B114" t="inlineStr">
        <is>
          <t>18526</t>
        </is>
      </c>
      <c r="C114" t="inlineStr">
        <is>
          <t>2025-12-31</t>
        </is>
      </c>
      <c r="D114" t="inlineStr">
        <is>
          <t>Kostner Service GmbH</t>
        </is>
      </c>
      <c r="E114" t="inlineStr">
        <is>
          <t>02753540216</t>
        </is>
      </c>
      <c r="F114" t="inlineStr">
        <is>
          <t>Vent Meinrad &amp; Co OHG</t>
        </is>
      </c>
      <c r="G114" t="inlineStr">
        <is>
          <t>01187500218</t>
        </is>
      </c>
      <c r="H114" t="inlineStr">
        <is>
          <t>Diesel</t>
        </is>
      </c>
      <c r="I114" t="inlineStr">
        <is>
          <t>EK 208 SJ</t>
        </is>
      </c>
      <c r="J114" t="inlineStr">
        <is>
          <t>LKW</t>
        </is>
      </c>
      <c r="K114" t="n">
        <v>74.36</v>
      </c>
      <c r="L114" s="2" t="n">
        <v>1.41723031</v>
      </c>
      <c r="M114" s="2" t="n">
        <v>105.3852459</v>
      </c>
      <c r="N114" s="3" t="n">
        <v>0.22</v>
      </c>
      <c r="O114" s="4">
        <f>HYPERLINK("C:\Users\Dangi\Desktop\Buchhaltung\Beispiele\Unterordner 2\IT03618500403_3Bgj5.xml.p7m", "IT03618500403_3Bgj5.xml.p7m")</f>
        <v/>
      </c>
    </row>
    <row r="115">
      <c r="A115" t="inlineStr">
        <is>
          <t>Rechnung</t>
        </is>
      </c>
      <c r="B115" t="inlineStr">
        <is>
          <t>18526</t>
        </is>
      </c>
      <c r="C115" t="inlineStr">
        <is>
          <t>2025-12-31</t>
        </is>
      </c>
      <c r="D115" t="inlineStr">
        <is>
          <t>Kostner Service GmbH</t>
        </is>
      </c>
      <c r="E115" t="inlineStr">
        <is>
          <t>02753540216</t>
        </is>
      </c>
      <c r="F115" t="inlineStr">
        <is>
          <t>Vent Meinrad &amp; Co OHG</t>
        </is>
      </c>
      <c r="G115" t="inlineStr">
        <is>
          <t>01187500218</t>
        </is>
      </c>
      <c r="H115" t="inlineStr">
        <is>
          <t>Diesel</t>
        </is>
      </c>
      <c r="I115" t="inlineStr">
        <is>
          <t>EK 208 SJ</t>
        </is>
      </c>
      <c r="J115" t="inlineStr">
        <is>
          <t>LKW</t>
        </is>
      </c>
      <c r="K115" t="n">
        <v>58.86</v>
      </c>
      <c r="L115" s="2" t="n">
        <v>1.37628605</v>
      </c>
      <c r="M115" s="2" t="n">
        <v>81.00819672</v>
      </c>
      <c r="N115" s="3" t="n">
        <v>0.22</v>
      </c>
      <c r="O115" s="4">
        <f>HYPERLINK("C:\Users\Dangi\Desktop\Buchhaltung\Beispiele\Unterordner 2\IT03618500403_3Bgj5.xml.p7m", "IT03618500403_3Bgj5.xml.p7m")</f>
        <v/>
      </c>
    </row>
    <row r="116">
      <c r="A116" t="inlineStr">
        <is>
          <t>Rechnung</t>
        </is>
      </c>
      <c r="B116" t="inlineStr">
        <is>
          <t>18526</t>
        </is>
      </c>
      <c r="C116" t="inlineStr">
        <is>
          <t>2025-12-31</t>
        </is>
      </c>
      <c r="D116" t="inlineStr">
        <is>
          <t>Kostner Service GmbH</t>
        </is>
      </c>
      <c r="E116" t="inlineStr">
        <is>
          <t>02753540216</t>
        </is>
      </c>
      <c r="F116" t="inlineStr">
        <is>
          <t>Vent Meinrad &amp; Co OHG</t>
        </is>
      </c>
      <c r="G116" t="inlineStr">
        <is>
          <t>01187500218</t>
        </is>
      </c>
      <c r="H116" t="inlineStr">
        <is>
          <t>Diesel</t>
        </is>
      </c>
      <c r="I116" t="inlineStr">
        <is>
          <t>KANISTER 01</t>
        </is>
      </c>
      <c r="J116" t="inlineStr">
        <is>
          <t>Maschiene</t>
        </is>
      </c>
      <c r="K116" t="n">
        <v>39.44</v>
      </c>
      <c r="L116" s="2" t="n">
        <v>1.3762345</v>
      </c>
      <c r="M116" s="2" t="n">
        <v>54.27868852</v>
      </c>
      <c r="N116" s="3" t="n">
        <v>0.22</v>
      </c>
      <c r="O116" s="4">
        <f>HYPERLINK("C:\Users\Dangi\Desktop\Buchhaltung\Beispiele\Unterordner 2\IT03618500403_3Bgj5.xml.p7m", "IT03618500403_3Bgj5.xml.p7m")</f>
        <v/>
      </c>
    </row>
    <row r="117">
      <c r="A117" t="inlineStr">
        <is>
          <t>Rechnung</t>
        </is>
      </c>
      <c r="B117" t="inlineStr">
        <is>
          <t>18526</t>
        </is>
      </c>
      <c r="C117" t="inlineStr">
        <is>
          <t>2025-12-31</t>
        </is>
      </c>
      <c r="D117" t="inlineStr">
        <is>
          <t>Kostner Service GmbH</t>
        </is>
      </c>
      <c r="E117" t="inlineStr">
        <is>
          <t>02753540216</t>
        </is>
      </c>
      <c r="F117" t="inlineStr">
        <is>
          <t>Vent Meinrad &amp; Co OHG</t>
        </is>
      </c>
      <c r="G117" t="inlineStr">
        <is>
          <t>01187500218</t>
        </is>
      </c>
      <c r="H117" t="inlineStr">
        <is>
          <t>Diesel</t>
        </is>
      </c>
      <c r="I117" t="inlineStr">
        <is>
          <t>KANISTER 02</t>
        </is>
      </c>
      <c r="J117" t="inlineStr">
        <is>
          <t>Maschiene</t>
        </is>
      </c>
      <c r="K117" t="n">
        <v>30.8</v>
      </c>
      <c r="L117" s="2" t="n">
        <v>1.36816053</v>
      </c>
      <c r="M117" s="2" t="n">
        <v>42.13934426</v>
      </c>
      <c r="N117" s="3" t="n">
        <v>0.22</v>
      </c>
      <c r="O117" s="4">
        <f>HYPERLINK("C:\Users\Dangi\Desktop\Buchhaltung\Beispiele\Unterordner 2\IT03618500403_3Bgj5.xml.p7m", "IT03618500403_3Bgj5.xml.p7m")</f>
        <v/>
      </c>
    </row>
    <row r="118">
      <c r="A118" t="inlineStr">
        <is>
          <t>Rechnung</t>
        </is>
      </c>
      <c r="B118" t="inlineStr">
        <is>
          <t>18526</t>
        </is>
      </c>
      <c r="C118" t="inlineStr">
        <is>
          <t>2025-12-31</t>
        </is>
      </c>
      <c r="D118" t="inlineStr">
        <is>
          <t>Kostner Service GmbH</t>
        </is>
      </c>
      <c r="E118" t="inlineStr">
        <is>
          <t>02753540216</t>
        </is>
      </c>
      <c r="F118" t="inlineStr">
        <is>
          <t>Vent Meinrad &amp; Co OHG</t>
        </is>
      </c>
      <c r="G118" t="inlineStr">
        <is>
          <t>01187500218</t>
        </is>
      </c>
      <c r="H118" t="inlineStr">
        <is>
          <t>Diesel</t>
        </is>
      </c>
      <c r="I118" t="inlineStr">
        <is>
          <t>GA 201 LX</t>
        </is>
      </c>
      <c r="J118" t="inlineStr">
        <is>
          <t>LKW</t>
        </is>
      </c>
      <c r="K118" t="n">
        <v>42.18</v>
      </c>
      <c r="L118" s="2" t="n">
        <v>1.42539001</v>
      </c>
      <c r="M118" s="2" t="n">
        <v>60.12295082</v>
      </c>
      <c r="N118" s="3" t="n">
        <v>0.22</v>
      </c>
      <c r="O118" s="4">
        <f>HYPERLINK("C:\Users\Dangi\Desktop\Buchhaltung\Beispiele\Unterordner 2\IT03618500403_3Bgj5.xml.p7m", "IT03618500403_3Bgj5.xml.p7m")</f>
        <v/>
      </c>
    </row>
    <row r="119">
      <c r="A119" t="inlineStr">
        <is>
          <t>Rechnung</t>
        </is>
      </c>
      <c r="B119" t="inlineStr">
        <is>
          <t>18526</t>
        </is>
      </c>
      <c r="C119" t="inlineStr">
        <is>
          <t>2025-12-31</t>
        </is>
      </c>
      <c r="D119" t="inlineStr">
        <is>
          <t>Kostner Service GmbH</t>
        </is>
      </c>
      <c r="E119" t="inlineStr">
        <is>
          <t>02753540216</t>
        </is>
      </c>
      <c r="F119" t="inlineStr">
        <is>
          <t>Vent Meinrad &amp; Co OHG</t>
        </is>
      </c>
      <c r="G119" t="inlineStr">
        <is>
          <t>01187500218</t>
        </is>
      </c>
      <c r="H119" t="inlineStr">
        <is>
          <t>Diesel</t>
        </is>
      </c>
      <c r="I119" t="inlineStr">
        <is>
          <t>FH 887 YY</t>
        </is>
      </c>
      <c r="J119" t="inlineStr">
        <is>
          <t>LKW</t>
        </is>
      </c>
      <c r="K119" t="n">
        <v>47.23</v>
      </c>
      <c r="L119" s="2" t="n">
        <v>1.42535829</v>
      </c>
      <c r="M119" s="2" t="n">
        <v>67.31967213</v>
      </c>
      <c r="N119" s="3" t="n">
        <v>0.22</v>
      </c>
      <c r="O119" s="4">
        <f>HYPERLINK("C:\Users\Dangi\Desktop\Buchhaltung\Beispiele\Unterordner 2\IT03618500403_3Bgj5.xml.p7m", "IT03618500403_3Bgj5.xml.p7m")</f>
        <v/>
      </c>
    </row>
    <row r="120">
      <c r="A120" t="inlineStr">
        <is>
          <t>Rechnung</t>
        </is>
      </c>
      <c r="B120" t="inlineStr">
        <is>
          <t>00237</t>
        </is>
      </c>
      <c r="C120" t="inlineStr">
        <is>
          <t>2026-01-31</t>
        </is>
      </c>
      <c r="D120" t="inlineStr">
        <is>
          <t>Kostner Service GmbH</t>
        </is>
      </c>
      <c r="E120" t="inlineStr">
        <is>
          <t>02753540216</t>
        </is>
      </c>
      <c r="F120" t="inlineStr">
        <is>
          <t>Vent Meinrad &amp; Co OHG</t>
        </is>
      </c>
      <c r="G120" t="inlineStr">
        <is>
          <t>01187500218</t>
        </is>
      </c>
      <c r="H120" t="inlineStr">
        <is>
          <t>Diesel</t>
        </is>
      </c>
      <c r="I120" t="inlineStr">
        <is>
          <t>GV 368 WT</t>
        </is>
      </c>
      <c r="J120" t="inlineStr">
        <is>
          <t>LKW</t>
        </is>
      </c>
      <c r="K120" t="n">
        <v>41.86</v>
      </c>
      <c r="L120" s="2" t="n">
        <v>1.40906848</v>
      </c>
      <c r="M120" s="2" t="n">
        <v>58.98360656</v>
      </c>
      <c r="N120" s="3" t="n">
        <v>0.22</v>
      </c>
      <c r="O120" s="4">
        <f>HYPERLINK("C:\Users\Dangi\Desktop\Buchhaltung\Beispiele\Unterordner 2\IT03618500403_3IsNL.xml.p7m", "IT03618500403_3IsNL.xml.p7m")</f>
        <v/>
      </c>
    </row>
    <row r="121">
      <c r="A121" t="inlineStr">
        <is>
          <t>Rechnung</t>
        </is>
      </c>
      <c r="B121" t="inlineStr">
        <is>
          <t>00237</t>
        </is>
      </c>
      <c r="C121" t="inlineStr">
        <is>
          <t>2026-01-31</t>
        </is>
      </c>
      <c r="D121" t="inlineStr">
        <is>
          <t>Kostner Service GmbH</t>
        </is>
      </c>
      <c r="E121" t="inlineStr">
        <is>
          <t>02753540216</t>
        </is>
      </c>
      <c r="F121" t="inlineStr">
        <is>
          <t>Vent Meinrad &amp; Co OHG</t>
        </is>
      </c>
      <c r="G121" t="inlineStr">
        <is>
          <t>01187500218</t>
        </is>
      </c>
      <c r="H121" t="inlineStr">
        <is>
          <t>Diesel</t>
        </is>
      </c>
      <c r="I121" t="inlineStr">
        <is>
          <t>EK 208 SJ</t>
        </is>
      </c>
      <c r="J121" t="inlineStr">
        <is>
          <t>LKW</t>
        </is>
      </c>
      <c r="K121" t="n">
        <v>73.56</v>
      </c>
      <c r="L121" s="2" t="n">
        <v>1.39264033</v>
      </c>
      <c r="M121" s="2" t="n">
        <v>102.44262295</v>
      </c>
      <c r="N121" s="3" t="n">
        <v>0.22</v>
      </c>
      <c r="O121" s="4">
        <f>HYPERLINK("C:\Users\Dangi\Desktop\Buchhaltung\Beispiele\Unterordner 2\IT03618500403_3IsNL.xml.p7m", "IT03618500403_3IsNL.xml.p7m")</f>
        <v/>
      </c>
    </row>
    <row r="122">
      <c r="A122" t="inlineStr">
        <is>
          <t>Rechnung</t>
        </is>
      </c>
      <c r="B122" t="inlineStr">
        <is>
          <t>00237</t>
        </is>
      </c>
      <c r="C122" t="inlineStr">
        <is>
          <t>2026-01-31</t>
        </is>
      </c>
      <c r="D122" t="inlineStr">
        <is>
          <t>Kostner Service GmbH</t>
        </is>
      </c>
      <c r="E122" t="inlineStr">
        <is>
          <t>02753540216</t>
        </is>
      </c>
      <c r="F122" t="inlineStr">
        <is>
          <t>Vent Meinrad &amp; Co OHG</t>
        </is>
      </c>
      <c r="G122" t="inlineStr">
        <is>
          <t>01187500218</t>
        </is>
      </c>
      <c r="H122" t="inlineStr">
        <is>
          <t>Diesel</t>
        </is>
      </c>
      <c r="I122" t="inlineStr">
        <is>
          <t>EK 208 SJ</t>
        </is>
      </c>
      <c r="J122" t="inlineStr">
        <is>
          <t>LKW</t>
        </is>
      </c>
      <c r="K122" t="n">
        <v>67.05</v>
      </c>
      <c r="L122" s="2" t="n">
        <v>1.41721984</v>
      </c>
      <c r="M122" s="2" t="n">
        <v>95.02459016</v>
      </c>
      <c r="N122" s="3" t="n">
        <v>0.22</v>
      </c>
      <c r="O122" s="4">
        <f>HYPERLINK("C:\Users\Dangi\Desktop\Buchhaltung\Beispiele\Unterordner 2\IT03618500403_3IsNL.xml.p7m", "IT03618500403_3IsNL.xml.p7m")</f>
        <v/>
      </c>
    </row>
    <row r="123">
      <c r="A123" t="inlineStr">
        <is>
          <t>Rechnung</t>
        </is>
      </c>
      <c r="B123" t="inlineStr">
        <is>
          <t>00237</t>
        </is>
      </c>
      <c r="C123" t="inlineStr">
        <is>
          <t>2026-01-31</t>
        </is>
      </c>
      <c r="D123" t="inlineStr">
        <is>
          <t>Kostner Service GmbH</t>
        </is>
      </c>
      <c r="E123" t="inlineStr">
        <is>
          <t>02753540216</t>
        </is>
      </c>
      <c r="F123" t="inlineStr">
        <is>
          <t>Vent Meinrad &amp; Co OHG</t>
        </is>
      </c>
      <c r="G123" t="inlineStr">
        <is>
          <t>01187500218</t>
        </is>
      </c>
      <c r="H123" t="inlineStr">
        <is>
          <t>Diesel</t>
        </is>
      </c>
      <c r="I123" t="inlineStr">
        <is>
          <t>KANISTER 01</t>
        </is>
      </c>
      <c r="J123" t="inlineStr">
        <is>
          <t>Maschiene</t>
        </is>
      </c>
      <c r="K123" t="n">
        <v>20.16</v>
      </c>
      <c r="L123" s="2" t="n">
        <v>1.42548139</v>
      </c>
      <c r="M123" s="2" t="n">
        <v>28.73770492</v>
      </c>
      <c r="N123" s="3" t="n">
        <v>0.22</v>
      </c>
      <c r="O123" s="4">
        <f>HYPERLINK("C:\Users\Dangi\Desktop\Buchhaltung\Beispiele\Unterordner 2\IT03618500403_3IsNL.xml.p7m", "IT03618500403_3IsNL.xml.p7m")</f>
        <v/>
      </c>
    </row>
    <row r="124">
      <c r="A124" t="inlineStr">
        <is>
          <t>Rechnung</t>
        </is>
      </c>
      <c r="B124" t="inlineStr">
        <is>
          <t>00237</t>
        </is>
      </c>
      <c r="C124" t="inlineStr">
        <is>
          <t>2026-01-31</t>
        </is>
      </c>
      <c r="D124" t="inlineStr">
        <is>
          <t>Kostner Service GmbH</t>
        </is>
      </c>
      <c r="E124" t="inlineStr">
        <is>
          <t>02753540216</t>
        </is>
      </c>
      <c r="F124" t="inlineStr">
        <is>
          <t>Vent Meinrad &amp; Co OHG</t>
        </is>
      </c>
      <c r="G124" t="inlineStr">
        <is>
          <t>01187500218</t>
        </is>
      </c>
      <c r="H124" t="inlineStr">
        <is>
          <t>Diesel</t>
        </is>
      </c>
      <c r="I124" t="inlineStr">
        <is>
          <t>GA 201 LX</t>
        </is>
      </c>
      <c r="J124" t="inlineStr">
        <is>
          <t>LKW</t>
        </is>
      </c>
      <c r="K124" t="n">
        <v>38.47</v>
      </c>
      <c r="L124" s="2" t="n">
        <v>1.39261166</v>
      </c>
      <c r="M124" s="2" t="n">
        <v>53.57377049</v>
      </c>
      <c r="N124" s="3" t="n">
        <v>0.22</v>
      </c>
      <c r="O124" s="4">
        <f>HYPERLINK("C:\Users\Dangi\Desktop\Buchhaltung\Beispiele\Unterordner 2\IT03618500403_3IsNL.xml.p7m", "IT03618500403_3IsNL.xml.p7m")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2026-07-20T10:37:48Z</dcterms:created>
  <dcterms:modified xmlns:dcterms="http://purl.org/dc/terms/" xmlns:xsi="http://www.w3.org/2001/XMLSchema-instance" xsi:type="dcterms:W3CDTF">2026-07-20T10:37:48Z</dcterms:modified>
</cp:coreProperties>
</file>